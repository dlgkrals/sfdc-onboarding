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ject\my-first-project\docs\산출물\"/>
    </mc:Choice>
  </mc:AlternateContent>
  <xr:revisionPtr revIDLastSave="0" documentId="8_{3BEF7A10-F5A3-43B5-9597-0B177E46999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현황표" sheetId="1" r:id="rId1"/>
    <sheet name="Cut Over" sheetId="2" r:id="rId2"/>
    <sheet name="Smoke Test" sheetId="4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F12" i="1"/>
  <c r="E12" i="1"/>
  <c r="D12" i="1"/>
  <c r="C12" i="1"/>
  <c r="B12" i="1"/>
  <c r="G9" i="1"/>
  <c r="F9" i="1"/>
  <c r="E9" i="1"/>
  <c r="D9" i="1"/>
  <c r="C9" i="1"/>
  <c r="B9" i="1"/>
  <c r="H12" i="1" l="1"/>
  <c r="H9" i="1"/>
  <c r="G25" i="1"/>
  <c r="F25" i="1"/>
  <c r="E25" i="1"/>
  <c r="D25" i="1"/>
  <c r="C25" i="1"/>
  <c r="B25" i="1"/>
  <c r="G24" i="1"/>
  <c r="F24" i="1"/>
  <c r="E24" i="1"/>
  <c r="D24" i="1"/>
  <c r="C24" i="1"/>
  <c r="B24" i="1"/>
  <c r="G23" i="1"/>
  <c r="F23" i="1"/>
  <c r="E23" i="1"/>
  <c r="D23" i="1"/>
  <c r="C23" i="1"/>
  <c r="B23" i="1"/>
  <c r="G16" i="1"/>
  <c r="F16" i="1"/>
  <c r="E16" i="1"/>
  <c r="D16" i="1"/>
  <c r="C16" i="1"/>
  <c r="B16" i="1"/>
  <c r="G13" i="1"/>
  <c r="F13" i="1"/>
  <c r="E13" i="1"/>
  <c r="D13" i="1"/>
  <c r="C13" i="1"/>
  <c r="B13" i="1"/>
  <c r="G11" i="1"/>
  <c r="F11" i="1"/>
  <c r="E11" i="1"/>
  <c r="D11" i="1"/>
  <c r="C11" i="1"/>
  <c r="B11" i="1"/>
  <c r="G10" i="1"/>
  <c r="F10" i="1"/>
  <c r="E10" i="1"/>
  <c r="D10" i="1"/>
  <c r="C10" i="1"/>
  <c r="B10" i="1"/>
  <c r="G15" i="1"/>
  <c r="F15" i="1"/>
  <c r="E15" i="1"/>
  <c r="D15" i="1"/>
  <c r="C15" i="1"/>
  <c r="B15" i="1"/>
  <c r="G14" i="1"/>
  <c r="F14" i="1"/>
  <c r="E14" i="1"/>
  <c r="D14" i="1"/>
  <c r="C14" i="1"/>
  <c r="B14" i="1"/>
  <c r="G8" i="1"/>
  <c r="F8" i="1"/>
  <c r="E8" i="1"/>
  <c r="D8" i="1"/>
  <c r="C8" i="1"/>
  <c r="B8" i="1"/>
  <c r="G7" i="1"/>
  <c r="F7" i="1"/>
  <c r="E7" i="1"/>
  <c r="D7" i="1"/>
  <c r="C7" i="1"/>
  <c r="B7" i="1"/>
  <c r="I1" i="1"/>
  <c r="H14" i="1" l="1"/>
  <c r="H13" i="1"/>
  <c r="H25" i="1"/>
  <c r="H16" i="1"/>
  <c r="E6" i="1"/>
  <c r="H11" i="1"/>
  <c r="H23" i="1"/>
  <c r="B6" i="1"/>
  <c r="H15" i="1"/>
  <c r="C6" i="1"/>
  <c r="H24" i="1"/>
  <c r="D6" i="1"/>
  <c r="G6" i="1"/>
  <c r="H8" i="1"/>
  <c r="H10" i="1"/>
  <c r="F6" i="1"/>
  <c r="H7" i="1"/>
  <c r="H6" i="1" l="1"/>
</calcChain>
</file>

<file path=xl/sharedStrings.xml><?xml version="1.0" encoding="utf-8"?>
<sst xmlns="http://schemas.openxmlformats.org/spreadsheetml/2006/main" count="715" uniqueCount="265">
  <si>
    <t>【1】 작업명별 진행 현황</t>
  </si>
  <si>
    <t>단계/작업명</t>
  </si>
  <si>
    <t>전체 계획</t>
  </si>
  <si>
    <t>시작전</t>
  </si>
  <si>
    <t>진행중</t>
  </si>
  <si>
    <t>완료</t>
  </si>
  <si>
    <t>시작 지연</t>
  </si>
  <si>
    <t>종료 지연</t>
  </si>
  <si>
    <t>진척률</t>
  </si>
  <si>
    <t>비고</t>
  </si>
  <si>
    <t>합계</t>
  </si>
  <si>
    <t>사전 작업</t>
    <phoneticPr fontId="11" type="noConversion"/>
  </si>
  <si>
    <t>배포 준비</t>
    <phoneticPr fontId="11" type="noConversion"/>
  </si>
  <si>
    <t>기능확인</t>
  </si>
  <si>
    <t>Open</t>
  </si>
  <si>
    <t>Stabilization</t>
    <phoneticPr fontId="11" type="noConversion"/>
  </si>
  <si>
    <t>【2】 Phase 요약</t>
  </si>
  <si>
    <t>Phase</t>
  </si>
  <si>
    <t>【3】 주요 일정 (마이그레이션 결과서 기준)</t>
  </si>
  <si>
    <t>시점</t>
  </si>
  <si>
    <t>일자</t>
  </si>
  <si>
    <t>내용</t>
  </si>
  <si>
    <t>2026-06-01 ~</t>
    <phoneticPr fontId="11" type="noConversion"/>
  </si>
  <si>
    <t>No</t>
  </si>
  <si>
    <t>기능별</t>
  </si>
  <si>
    <t>작업명</t>
  </si>
  <si>
    <t>작업내용</t>
  </si>
  <si>
    <t>진행상태</t>
  </si>
  <si>
    <t>시작일</t>
  </si>
  <si>
    <t>시작일시</t>
  </si>
  <si>
    <t>예상소요시간</t>
  </si>
  <si>
    <t>종료일</t>
  </si>
  <si>
    <t>종료일시</t>
  </si>
  <si>
    <t>담당자</t>
  </si>
  <si>
    <t>검증 담당자</t>
  </si>
  <si>
    <t>검증 결과</t>
  </si>
  <si>
    <t>지연 사유</t>
  </si>
  <si>
    <t>시작일시_dt</t>
  </si>
  <si>
    <t>종료일시_dt(계산)</t>
  </si>
  <si>
    <t>Metadata</t>
  </si>
  <si>
    <t>기능확인</t>
    <phoneticPr fontId="11" type="noConversion"/>
  </si>
  <si>
    <t>실행 일시</t>
  </si>
  <si>
    <t>실행 담당</t>
  </si>
  <si>
    <t>판정자</t>
  </si>
  <si>
    <t>소요 (예상)</t>
  </si>
  <si>
    <t>1h</t>
  </si>
  <si>
    <t>【1】 공통 인프라 점검 (Infrastructure Smoke)</t>
  </si>
  <si>
    <t>분류</t>
  </si>
  <si>
    <t>점검 항목</t>
  </si>
  <si>
    <t>수행 방법</t>
  </si>
  <si>
    <t>기대 결과</t>
  </si>
  <si>
    <t>소요 (분)</t>
  </si>
  <si>
    <t>판정</t>
  </si>
  <si>
    <t>인프라</t>
  </si>
  <si>
    <t>—</t>
  </si>
  <si>
    <t>☐</t>
  </si>
  <si>
    <t>부품</t>
  </si>
  <si>
    <t>Sharing</t>
  </si>
  <si>
    <t>FLS</t>
  </si>
  <si>
    <t>일정 칸(간트)은 운영 D-day 확정 후 기입 — 현재는 비고(AN)에 D-n 기준</t>
  </si>
  <si>
    <t>사전 준비 (샌드박스, D-7 ~ D-2)</t>
  </si>
  <si>
    <t>사전 작업</t>
  </si>
  <si>
    <t>소스 이관 목록 작성 (19_소스이관목록)</t>
  </si>
  <si>
    <t>Edwin(개발), 관리자(서비스운영팀장)</t>
  </si>
  <si>
    <t>Edwin</t>
  </si>
  <si>
    <t>확인</t>
  </si>
  <si>
    <t>D-7 · 2026-10-16 작성</t>
  </si>
  <si>
    <t>저장소에 없는 메타데이터 retrieve·커밋 (GlobalValueSet·RecordType·검증 규칙 16·Flow 2·공유 규칙 Case/WorkOrder·Role·Group·Queue 2·CustomPermission·외부 클라이언트 앱)</t>
  </si>
  <si>
    <t>D-7 · deploy_procedure.md 1-1</t>
  </si>
  <si>
    <t>Test</t>
  </si>
  <si>
    <t>전체 로컬 테스트·커버리지 확인 (dev org)</t>
  </si>
  <si>
    <t>2026-10-15 · 214건 Pass, 96%</t>
  </si>
  <si>
    <t>Release</t>
  </si>
  <si>
    <t>배포 준비</t>
  </si>
  <si>
    <t>소스 Freezing·배포 브랜치 태그</t>
  </si>
  <si>
    <t>관리자</t>
  </si>
  <si>
    <t>D-6</t>
  </si>
  <si>
    <t>배포 매니페스트 생성 (sf project generate manifest)</t>
  </si>
  <si>
    <t>Org</t>
  </si>
  <si>
    <t>샌드박스 배포</t>
  </si>
  <si>
    <t>샌드박스 조직 설정 (Field Service 활성화·권한 집합 라이선스·레이블 이름·기본 사례 소유자)</t>
  </si>
  <si>
    <t>1~6단계 배포 + RunLocalTests 검증 (예약 작업 있으면 해제 후)</t>
  </si>
  <si>
    <t>D-5</t>
  </si>
  <si>
    <t>Config</t>
  </si>
  <si>
    <t>배포 후 수동 설정 14항목 (외부 자격 증명 값·연동 사용자·외부 클라이언트 앱·AP2 승인자·사용자·권한 집합·Queue·예약 작업)</t>
  </si>
  <si>
    <t>D-5 · deploy_procedure.md 3</t>
  </si>
  <si>
    <t>Data</t>
  </si>
  <si>
    <t>샌드박스 검증</t>
  </si>
  <si>
    <t>데이터 이관 리허설 (Product2 → Account → 사업장 → 장비 → 위치·재고) + 건수·외부 ID 검증</t>
  </si>
  <si>
    <t>D-4</t>
  </si>
  <si>
    <t>통합 테스트 2차 (1차 미실행 5건·Fail 1건 재확인 포함)</t>
  </si>
  <si>
    <t>상담원·센터장·기사</t>
  </si>
  <si>
    <t>D-4 ~ D-3</t>
  </si>
  <si>
    <t>Interface</t>
  </si>
  <si>
    <t>ERP·주소 연동 확인 (IF-02-P·IF-02-R·IF-03·IF-06·IF-07)</t>
  </si>
  <si>
    <t>ERP 담당</t>
  </si>
  <si>
    <t>D-3</t>
  </si>
  <si>
    <t>운영 검증 배포 (sf project deploy validate, RunLocalTests) — Job Id 보관</t>
  </si>
  <si>
    <t>D-2</t>
  </si>
  <si>
    <t>Cut-Over (운영, D-1 ~ D-day)</t>
  </si>
  <si>
    <t>운영 메타데이터 백업 retrieve (롤백용)</t>
  </si>
  <si>
    <t>D-1</t>
  </si>
  <si>
    <t>운영 배포</t>
  </si>
  <si>
    <t>운영 조직 설정 확인 (Field Service·라이선스·레이블 이름)</t>
  </si>
  <si>
    <t>운영 예약 작업 해제 확인 (HG 반복 고장 재계산 · HG ERP 재전송 · HG ERP 재고 동기화)</t>
  </si>
  <si>
    <t>D-day</t>
  </si>
  <si>
    <t>빠른 배포 (sf project deploy quick --job-id)</t>
  </si>
  <si>
    <t>배포 후 설정</t>
  </si>
  <si>
    <t>도로명주소 운영 승인키 입력 (HG_JusoPrincipal ConfmKey)</t>
  </si>
  <si>
    <t>D-day · 값은 설정 화면에만</t>
  </si>
  <si>
    <t>ERP 주소·API 키 입력 (HG_ErpMock URL, HG_ErpPrincipal ApiKey)</t>
  </si>
  <si>
    <t>연동 사용자 생성 + 권한 집합 2개 + 외부 클라이언트 앱(Run As) + ERP 쪽 비밀 등록</t>
  </si>
  <si>
    <t>AP2 승인자(센터장 사용자) 운영 값 반영</t>
  </si>
  <si>
    <t>사용자·역할·Manager(기사 → 센터장)·권한 집합·Field Service 라이선스 할당</t>
  </si>
  <si>
    <t>공개 그룹 HG_CallCenter·센터 Queue 구성원, 할당 규칙 활성, 기사 Flow 실행 권한(결정 결과 반영)</t>
  </si>
  <si>
    <t>예약 작업 3개 재등록 + ERP 가져오기 기준 이력 번호 설정</t>
  </si>
  <si>
    <t>D-day · d6_schedule / d7_erp_retry_schedule / d7_erp_inbound_schedule·baseline</t>
  </si>
  <si>
    <t>데이터 이관</t>
  </si>
  <si>
    <t>Product2 (ErpPartCode__c upsert)</t>
  </si>
  <si>
    <t>Account · 사업장 (BusinessRegistrationNumber__c · SiteCode__c upsert)</t>
  </si>
  <si>
    <t>D-day · 사업장 센터는 트리거가 지정</t>
  </si>
  <si>
    <t>장비 (SerialKey__c upsert) + 장비 집계 재계산 (d6_backfill)</t>
  </si>
  <si>
    <t>위치·차량 재고 (ErpLocationCode__c) + ERP 재고 대사</t>
  </si>
  <si>
    <t>이관 검증 (원본 건수 = 적재 건수, 외부 ID 중복 0, 고객사·센터·모델 누락)</t>
  </si>
  <si>
    <t>스모크 테스트 (Smoke Test 시트, 역할별 30분)</t>
  </si>
  <si>
    <t>Go/No-Go 판정 · Open</t>
  </si>
  <si>
    <t>Stabilization</t>
  </si>
  <si>
    <t>Open 대응 (D+1 ~)</t>
  </si>
  <si>
    <t>일일 모니터링 (ERP 전송 실패·재전송·가져오기 기록, 예약 작업 상태)</t>
  </si>
  <si>
    <t>D+1 ~ 매일</t>
  </si>
  <si>
    <t>사용자 문의 대응·결함 처리</t>
  </si>
  <si>
    <t>D+1 ~</t>
  </si>
  <si>
    <t>[한결공조 AS 관리 시스템 Cut-Over 진행 현황]</t>
    <phoneticPr fontId="11" type="noConversion"/>
  </si>
  <si>
    <t>※ 가정: dev org 개발 → 샌드박스 검증 → 운영 배포. 날짜는 운영 D-day 확정 후 기입(현재는 D-n 기준). 절차 상세: docs/deploy_procedure.md</t>
    <phoneticPr fontId="11" type="noConversion"/>
  </si>
  <si>
    <t>저장소·org 비교, 테스트</t>
    <phoneticPr fontId="11" type="noConversion"/>
  </si>
  <si>
    <t>매니페스트·검증 배포·백업</t>
    <phoneticPr fontId="11" type="noConversion"/>
  </si>
  <si>
    <t>샌드박스 배포</t>
    <phoneticPr fontId="11" type="noConversion"/>
  </si>
  <si>
    <t>조직 설정·메타데이터·수동 설정</t>
    <phoneticPr fontId="11" type="noConversion"/>
  </si>
  <si>
    <t>샌드박스 검증</t>
    <phoneticPr fontId="11" type="noConversion"/>
  </si>
  <si>
    <t>데이터 이관 리허설·통합 2차·연동</t>
    <phoneticPr fontId="11" type="noConversion"/>
  </si>
  <si>
    <t>운영 배포</t>
    <phoneticPr fontId="11" type="noConversion"/>
  </si>
  <si>
    <t>빠른 배포·예약 작업 해제</t>
    <phoneticPr fontId="11" type="noConversion"/>
  </si>
  <si>
    <t>배포 후 설정</t>
    <phoneticPr fontId="11" type="noConversion"/>
  </si>
  <si>
    <t>키·연동 사용자·사용자·예약 작업</t>
  </si>
  <si>
    <t>데이터 이관</t>
    <phoneticPr fontId="11" type="noConversion"/>
  </si>
  <si>
    <t>외부 ID upsert·검증</t>
    <phoneticPr fontId="11" type="noConversion"/>
  </si>
  <si>
    <t>스모크 테스트</t>
    <phoneticPr fontId="11" type="noConversion"/>
  </si>
  <si>
    <t>Open</t>
    <phoneticPr fontId="11" type="noConversion"/>
  </si>
  <si>
    <t>Go/No-Go</t>
    <phoneticPr fontId="11" type="noConversion"/>
  </si>
  <si>
    <t>모니터링·문의</t>
    <phoneticPr fontId="11" type="noConversion"/>
  </si>
  <si>
    <t>사전 준비 (샌드박스, D-7 ~ D-2)</t>
    <phoneticPr fontId="11" type="noConversion"/>
  </si>
  <si>
    <t>저장소 정리·샌드박스 배포·리허설·운영 검증 배포</t>
    <phoneticPr fontId="11" type="noConversion"/>
  </si>
  <si>
    <t>Cut-Over (운영, D-1 ~ D-day)</t>
    <phoneticPr fontId="11" type="noConversion"/>
  </si>
  <si>
    <t>빠른 배포·수동 설정·데이터 이관·스모크 테스트</t>
    <phoneticPr fontId="11" type="noConversion"/>
  </si>
  <si>
    <t>Open 대응 (D+1 ~)</t>
    <phoneticPr fontId="11" type="noConversion"/>
  </si>
  <si>
    <t>모니터링·안정화</t>
    <phoneticPr fontId="11" type="noConversion"/>
  </si>
  <si>
    <t>D-7</t>
  </si>
  <si>
    <t>미정</t>
  </si>
  <si>
    <t>저장소 누락 메타데이터 정리, 소스 이관 목록 확정</t>
  </si>
  <si>
    <t>D-6 ~ D-3</t>
  </si>
  <si>
    <t>샌드박스 배포·수동 설정·데이터 이관 리허설·통합 테스트 2차</t>
  </si>
  <si>
    <t>운영 검증 배포 (RunLocalTests)</t>
  </si>
  <si>
    <t>D-1 ~ D-day</t>
  </si>
  <si>
    <t>백업 → 빠른 배포 → 수동 설정 → 데이터 이관 → 스모크 테스트 → Go/No-Go</t>
  </si>
  <si>
    <t>안정화 (ERP 전송·예약 작업 모니터링)</t>
  </si>
  <si>
    <t>한결공조 AS 관리 시스템 — Smoke Test 체크리스트 (Cut-Over D-Day Go/No-Go)</t>
    <phoneticPr fontId="11" type="noConversion"/>
  </si>
  <si>
    <t>※ 운영 배포·수동 설정 직후 30분~1시간 내 빠른 검증. 1건이라도 ✗(Fail) 시 Open 보류 + 핫픽스/롤백 결정 / 4 역할(상담원·센터장·기사·관리자) 실제 사용자로</t>
    <phoneticPr fontId="11" type="noConversion"/>
  </si>
  <si>
    <t>상담원</t>
    <phoneticPr fontId="11" type="noConversion"/>
  </si>
  <si>
    <t>센터장</t>
    <phoneticPr fontId="11" type="noConversion"/>
  </si>
  <si>
    <t>기사</t>
    <phoneticPr fontId="11" type="noConversion"/>
  </si>
  <si>
    <t>관리자</t>
    <phoneticPr fontId="11" type="noConversion"/>
  </si>
  <si>
    <t>【2】 상담원 핵심 시나리오</t>
    <phoneticPr fontId="11" type="noConversion"/>
  </si>
  <si>
    <t>【3】 센터장 · 기사 핵심 시나리오 (출동 · 부품 · 승인 · ERP)</t>
    <phoneticPr fontId="11" type="noConversion"/>
  </si>
  <si>
    <t>【4】 관리자 점검 (설정 · 기준값 · 자동화)</t>
    <phoneticPr fontId="11" type="noConversion"/>
  </si>
  <si>
    <t>【5】 권한 / 보안 / 데이터 가시성</t>
    <phoneticPr fontId="11" type="noConversion"/>
  </si>
  <si>
    <t>Lightning 로그인 · 한결공조 AS 앱</t>
  </si>
  <si>
    <t>4 역할 사용자로 로그인 → 앱 실행</t>
  </si>
  <si>
    <t>앱·탭·유틸리티 바 정상</t>
  </si>
  <si>
    <t>○</t>
  </si>
  <si>
    <t>ERP 푸시 설정</t>
  </si>
  <si>
    <t>ERP `/health` 확인</t>
  </si>
  <si>
    <t>push: configured, pushMissing: []</t>
  </si>
  <si>
    <t>외부 자격 증명 값</t>
  </si>
  <si>
    <t>주소 검색 1건 · ERP 조회 1건</t>
  </si>
  <si>
    <t>승인키·API 키 오류 없음</t>
  </si>
  <si>
    <t>이메일 송신</t>
  </si>
  <si>
    <t>긴급 접수(냉동창고) 1건 저장</t>
  </si>
  <si>
    <t>센터장 긴급 메일 수신</t>
  </si>
  <si>
    <t>예약 작업</t>
  </si>
  <si>
    <t>설정 → 예약된 작업</t>
  </si>
  <si>
    <t>HG 반복 고장 재계산 · HG ERP 재전송 · HG ERP 재고 동기화 WAITING</t>
  </si>
  <si>
    <t>접수</t>
  </si>
  <si>
    <t>가상 착신 → 접수 작성 팝업</t>
  </si>
  <si>
    <t>현장 번호 + 증상 + 시리얼 4자리 → [전화 연결]</t>
  </si>
  <si>
    <t>고객사·사업장·장비 채움, 카드·중복 경고 표시</t>
  </si>
  <si>
    <t>접수 저장 → 센터 Queue</t>
  </si>
  <si>
    <t>[접수 저장]</t>
  </si>
  <si>
    <t>소유자 = 센터 Queue, 고객사·사업장·센터 자동</t>
  </si>
  <si>
    <t>검색</t>
  </si>
  <si>
    <t>장비 검색 · 사업장 주소 검색</t>
  </si>
  <si>
    <t>시리얼로 장비 검색, 사업장 "주소 검색"</t>
  </si>
  <si>
    <t>결과 표시, 저장 시 센터 자동 지정</t>
  </si>
  <si>
    <t>가시성</t>
  </si>
  <si>
    <t>센터장 자기 센터만</t>
  </si>
  <si>
    <t>센터장 로그인 → 접수·출동 목록</t>
  </si>
  <si>
    <t>경기남부 건만 표시</t>
  </si>
  <si>
    <t>출동</t>
  </si>
  <si>
    <t>출동 생성 · 기사 배정</t>
  </si>
  <si>
    <t>접수 → 출동 생성, 소유자 = 기사</t>
  </si>
  <si>
    <t>기사에게 출동 표시</t>
  </si>
  <si>
    <t>기사 본인 출동만</t>
  </si>
  <si>
    <t>기사 로그인 → 출동 목록</t>
  </si>
  <si>
    <t>본인 출동만, 고객사·장비·접수 탭 없음</t>
  </si>
  <si>
    <t>부품 추가 → ERP 전송</t>
  </si>
  <si>
    <t>내 차량 재고 선택 + 수량 → 추가</t>
  </si>
  <si>
    <t>유·무상 판정, ERP 전송 상태 Synced</t>
  </si>
  <si>
    <t>차량 재고 초과 거부</t>
  </si>
  <si>
    <t>남은 수량 + 1 입력</t>
  </si>
  <si>
    <t>"차량 재고가 부족합니다" 거부</t>
  </si>
  <si>
    <t>승인</t>
  </si>
  <si>
    <t>[승인 요청] 빠른 작업</t>
  </si>
  <si>
    <t>도착 상태·기준 초과 출동 → [승인 요청]</t>
  </si>
  <si>
    <t>버튼 표시, 이유 표시, 사유·동의 필수</t>
  </si>
  <si>
    <t>센터장 승인 · 반려</t>
  </si>
  <si>
    <t>승인 요청 → 승인 / 반려(사유)</t>
  </si>
  <si>
    <t>상태 도착 복귀, 승인 상태 갱신, 결과 메일</t>
  </si>
  <si>
    <t>ERP</t>
  </si>
  <si>
    <t>ERP 입고 푸시</t>
  </si>
  <si>
    <t>ERP에서 입고 +1</t>
  </si>
  <si>
    <t>"즉시 반영됨", Salesforce 재고 +1, 기록 "· 푸시"</t>
  </si>
  <si>
    <t>가져오기 안전망</t>
  </si>
  <si>
    <t>가져오기 수동 실행(d7_erp_inbound_run)</t>
  </si>
  <si>
    <t>중복 건너뜀, 기준 번호 갱신</t>
  </si>
  <si>
    <t>재고 이동 수령</t>
  </si>
  <si>
    <t>창고 → 차량 이동 생성 → 수령</t>
  </si>
  <si>
    <t>ERP 전송 Synced</t>
  </si>
  <si>
    <t>배포</t>
  </si>
  <si>
    <t>테스트·커버리지</t>
  </si>
  <si>
    <t>검증 배포 결과 확인</t>
  </si>
  <si>
    <t>RunLocalTests 전부 Pass, 75% 이상</t>
  </si>
  <si>
    <t>기준값</t>
  </si>
  <si>
    <t>Custom Metadata 값</t>
  </si>
  <si>
    <t>ServiceSetting·WarrantyPolicy 조회</t>
  </si>
  <si>
    <t>ApprovalAmount 500000 등 v2_facts 8절과 같음</t>
  </si>
  <si>
    <t>승인 프로세스 2개</t>
  </si>
  <si>
    <t>설정 → 승인 프로세스</t>
  </si>
  <si>
    <t>AP1·AP2 활성, AP2 승인자 = 운영 센터장</t>
  </si>
  <si>
    <t>자동화</t>
  </si>
  <si>
    <t>트리거 스위치·Flow</t>
  </si>
  <si>
    <t>TriggerSetting__mdt, Flow 10개 활성</t>
  </si>
  <si>
    <t>모두 활성</t>
  </si>
  <si>
    <t>기사 고객 정보 비공개</t>
  </si>
  <si>
    <t>기사로 고객사·장비 URL 직접 열기</t>
  </si>
  <si>
    <t>권한 없음</t>
  </si>
  <si>
    <t>서비스센터 읽기 전용</t>
  </si>
  <si>
    <t>상담원·센터장으로 사업장 편집</t>
  </si>
  <si>
    <t>서비스센터 수정 불가</t>
  </si>
  <si>
    <t>연동</t>
  </si>
  <si>
    <t>연동 사용자 최소 권한</t>
  </si>
  <si>
    <t>연동 사용자 권한 집합 조회</t>
  </si>
  <si>
    <t>HG_ErpIntegration·HG_ErpIntegrationData만</t>
  </si>
  <si>
    <t>보안</t>
  </si>
  <si>
    <t>키 보관 위치</t>
  </si>
  <si>
    <t>메타데이터·저장소 검색</t>
  </si>
  <si>
    <t>키·비밀 값 없음(설정 화면·ERP 비밀 저장소에만)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</si>
</sst>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hh:mm"/>
    <numFmt numFmtId="178" formatCode="yyyy\-mm\-dd\ hh:mm"/>
    <numFmt numFmtId="179" formatCode="0.0%"/>
  </numFmts>
  <fonts count="20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b/>
      <sz val="10"/>
      <color rgb="FF000000"/>
      <name val="맑은 고딕"/>
      <family val="2"/>
      <charset val="129"/>
    </font>
    <font>
      <b/>
      <sz val="10"/>
      <color rgb="FF1F3864"/>
      <name val="맑은 고딕"/>
      <family val="2"/>
      <charset val="129"/>
    </font>
    <font>
      <sz val="10"/>
      <color rgb="FF000000"/>
      <name val="맑은 고딕"/>
      <family val="2"/>
      <charset val="129"/>
    </font>
    <font>
      <sz val="10"/>
      <color rgb="FF1F3864"/>
      <name val="맑은 고딕"/>
      <family val="2"/>
      <charset val="129"/>
    </font>
    <font>
      <i/>
      <sz val="9"/>
      <color rgb="FF808080"/>
      <name val="맑은 고딕"/>
      <family val="2"/>
      <charset val="129"/>
    </font>
    <font>
      <b/>
      <sz val="16"/>
      <color rgb="FFFFFFFF"/>
      <name val="맑은 고딕"/>
      <family val="2"/>
      <charset val="129"/>
    </font>
    <font>
      <i/>
      <sz val="10"/>
      <color rgb="FF1F3864"/>
      <name val="맑은 고딕"/>
      <family val="2"/>
      <charset val="129"/>
    </font>
    <font>
      <b/>
      <sz val="12"/>
      <color rgb="FFFFFFFF"/>
      <name val="맑은 고딕"/>
      <family val="2"/>
      <charset val="129"/>
    </font>
    <font>
      <b/>
      <sz val="10"/>
      <color rgb="FFCC0000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9"/>
      <color rgb="FF000000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sz val="9"/>
      <color rgb="FF000000"/>
      <name val="맑은 고딕"/>
      <family val="2"/>
      <charset val="129"/>
    </font>
    <font>
      <sz val="9"/>
      <color rgb="FF1F3864"/>
      <name val="맑은 고딕"/>
      <family val="2"/>
      <charset val="129"/>
    </font>
    <font>
      <b/>
      <sz val="12"/>
      <color rgb="FF1F3864"/>
      <name val="맑은 고딕"/>
      <family val="2"/>
      <charset val="129"/>
    </font>
    <font>
      <sz val="10"/>
      <color rgb="FF808080"/>
      <name val="맑은 고딕"/>
      <family val="2"/>
      <charset val="129"/>
    </font>
    <font>
      <b/>
      <sz val="11"/>
      <color rgb="FFFF0000"/>
      <name val="맑은 고딕"/>
      <family val="2"/>
      <charset val="129"/>
    </font>
    <font>
      <sz val="11"/>
      <color rgb="FFFF0000"/>
      <name val="맑은 고딕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EEAF1"/>
      </patternFill>
    </fill>
    <fill>
      <patternFill patternType="solid">
        <fgColor rgb="FFEAF1F8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ADBD8"/>
      </patternFill>
    </fill>
    <fill>
      <patternFill patternType="solid">
        <fgColor rgb="FFE2EFDA"/>
      </patternFill>
    </fill>
    <fill>
      <patternFill patternType="solid">
        <fgColor rgb="FF2E5FA3"/>
      </patternFill>
    </fill>
    <fill>
      <patternFill patternType="solid">
        <fgColor rgb="FFFFE699"/>
      </patternFill>
    </fill>
    <fill>
      <patternFill patternType="solid">
        <f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178" fontId="8" fillId="4" borderId="2" xfId="0" applyNumberFormat="1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9" fontId="1" fillId="2" borderId="1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 indent="1"/>
    </xf>
    <xf numFmtId="0" fontId="4" fillId="6" borderId="2" xfId="0" applyFont="1" applyFill="1" applyBorder="1" applyAlignment="1">
      <alignment horizontal="center" vertical="center" wrapText="1"/>
    </xf>
    <xf numFmtId="179" fontId="2" fillId="8" borderId="2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 indent="1"/>
    </xf>
    <xf numFmtId="176" fontId="4" fillId="6" borderId="2" xfId="0" applyNumberFormat="1" applyFont="1" applyFill="1" applyBorder="1" applyAlignment="1">
      <alignment horizontal="center" vertical="center" wrapText="1"/>
    </xf>
    <xf numFmtId="178" fontId="4" fillId="6" borderId="2" xfId="0" applyNumberFormat="1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left" vertical="center" wrapText="1" indent="1"/>
    </xf>
    <xf numFmtId="0" fontId="15" fillId="6" borderId="2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left" vertical="center" wrapText="1" indent="1"/>
    </xf>
    <xf numFmtId="14" fontId="5" fillId="6" borderId="2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18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4" fontId="4" fillId="0" borderId="2" xfId="0" applyNumberFormat="1" applyFont="1" applyBorder="1" applyAlignment="1">
      <alignment horizontal="center" vertical="center" wrapText="1"/>
    </xf>
    <xf numFmtId="14" fontId="4" fillId="14" borderId="2" xfId="0" applyNumberFormat="1" applyFont="1" applyFill="1" applyBorder="1" applyAlignment="1">
      <alignment horizontal="center" vertical="center" wrapText="1"/>
    </xf>
    <xf numFmtId="14" fontId="19" fillId="12" borderId="0" xfId="0" applyNumberFormat="1" applyFont="1" applyFill="1"/>
    <xf numFmtId="0" fontId="4" fillId="15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/>
    <xf numFmtId="0" fontId="3" fillId="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 wrapText="1" indent="1"/>
    </xf>
    <xf numFmtId="0" fontId="6" fillId="6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20" fontId="1" fillId="2" borderId="1" xfId="0" applyNumberFormat="1" applyFont="1" applyFill="1" applyBorder="1" applyAlignment="1">
      <alignment horizontal="center" vertical="center" wrapText="1"/>
    </xf>
    <xf numFmtId="20" fontId="18" fillId="2" borderId="1" xfId="0" applyNumberFormat="1" applyFont="1" applyFill="1" applyBorder="1" applyAlignment="1">
      <alignment horizontal="center" vertical="center" wrapText="1"/>
    </xf>
    <xf numFmtId="14" fontId="18" fillId="2" borderId="3" xfId="0" applyNumberFormat="1" applyFont="1" applyFill="1" applyBorder="1" applyAlignment="1">
      <alignment horizontal="center" vertical="center" wrapText="1"/>
    </xf>
    <xf numFmtId="14" fontId="18" fillId="2" borderId="4" xfId="0" applyNumberFormat="1" applyFont="1" applyFill="1" applyBorder="1" applyAlignment="1">
      <alignment horizontal="center" vertical="center" wrapText="1"/>
    </xf>
    <xf numFmtId="14" fontId="18" fillId="2" borderId="5" xfId="0" applyNumberFormat="1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 indent="1"/>
    </xf>
    <xf numFmtId="0" fontId="7" fillId="2" borderId="2" xfId="0" applyFont="1" applyFill="1" applyBorder="1" applyAlignment="1">
      <alignment horizontal="center" vertical="center" wrapText="1"/>
    </xf>
    <xf numFmtId="0" fontId="0" fillId="0" borderId="0" xfId="0"/>
    <xf numFmtId="0" fontId="9" fillId="9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 indent="1"/>
    </xf>
    <xf numFmtId="0" fontId="8" fillId="4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 inden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topLeftCell="A10" zoomScale="70" zoomScaleNormal="70" workbookViewId="0">
      <selection activeCell="L10" sqref="L10"/>
    </sheetView>
  </sheetViews>
  <sheetFormatPr defaultRowHeight="16.5" x14ac:dyDescent="0.3"/>
  <cols>
    <col min="1" max="1" width="33.875" customWidth="1"/>
    <col min="2" max="2" width="23.875" customWidth="1"/>
    <col min="3" max="5" width="11" customWidth="1"/>
    <col min="6" max="7" width="12" customWidth="1"/>
    <col min="8" max="8" width="11" customWidth="1"/>
    <col min="9" max="9" width="56.125" customWidth="1"/>
  </cols>
  <sheetData>
    <row r="1" spans="1:9" ht="36" customHeight="1" x14ac:dyDescent="0.3">
      <c r="A1" s="51" t="s">
        <v>132</v>
      </c>
      <c r="B1" s="52"/>
      <c r="C1" s="52"/>
      <c r="D1" s="52"/>
      <c r="E1" s="52"/>
      <c r="F1" s="52"/>
      <c r="G1" s="52"/>
      <c r="H1" s="52"/>
      <c r="I1" s="1">
        <f ca="1">NOW()</f>
        <v>46311.383120254628</v>
      </c>
    </row>
    <row r="2" spans="1:9" ht="21.95" customHeight="1" x14ac:dyDescent="0.3">
      <c r="A2" s="55" t="s">
        <v>133</v>
      </c>
      <c r="B2" s="52"/>
      <c r="C2" s="52"/>
      <c r="D2" s="52"/>
      <c r="E2" s="52"/>
      <c r="F2" s="52"/>
      <c r="G2" s="52"/>
      <c r="H2" s="52"/>
      <c r="I2" s="52"/>
    </row>
    <row r="4" spans="1:9" ht="26.1" customHeight="1" x14ac:dyDescent="0.3">
      <c r="A4" s="53" t="s">
        <v>0</v>
      </c>
      <c r="B4" s="52"/>
      <c r="C4" s="52"/>
      <c r="D4" s="52"/>
      <c r="E4" s="52"/>
      <c r="F4" s="52"/>
      <c r="G4" s="52"/>
      <c r="H4" s="52"/>
      <c r="I4" s="52"/>
    </row>
    <row r="5" spans="1:9" ht="27.95" customHeight="1" x14ac:dyDescent="0.3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</row>
    <row r="6" spans="1:9" ht="27.95" customHeight="1" x14ac:dyDescent="0.3">
      <c r="A6" s="3" t="s">
        <v>10</v>
      </c>
      <c r="B6" s="3">
        <f t="shared" ref="B6:G6" si="0">SUM(B7:B19)</f>
        <v>32</v>
      </c>
      <c r="C6" s="3">
        <f t="shared" si="0"/>
        <v>30</v>
      </c>
      <c r="D6" s="3">
        <f t="shared" si="0"/>
        <v>0</v>
      </c>
      <c r="E6" s="3">
        <f t="shared" si="0"/>
        <v>2</v>
      </c>
      <c r="F6" s="3">
        <f t="shared" ca="1" si="0"/>
        <v>0</v>
      </c>
      <c r="G6" s="3">
        <f t="shared" ca="1" si="0"/>
        <v>0</v>
      </c>
      <c r="H6" s="4">
        <f t="shared" ref="H6:H19" si="1">IF(B6=0,0,E6/B6)</f>
        <v>6.25E-2</v>
      </c>
      <c r="I6" s="3"/>
    </row>
    <row r="7" spans="1:9" ht="24" customHeight="1" x14ac:dyDescent="0.3">
      <c r="A7" s="5" t="s">
        <v>11</v>
      </c>
      <c r="B7" s="6">
        <f>COUNTIF('Cut Over'!$D:$D,$A7)</f>
        <v>3</v>
      </c>
      <c r="C7" s="6">
        <f>COUNTIFS('Cut Over'!$D:$D,$A7,'Cut Over'!$F:$F,"시작전")</f>
        <v>1</v>
      </c>
      <c r="D7" s="6">
        <f>COUNTIFS('Cut Over'!$D:$D,$A7,'Cut Over'!$F:$F,"진행중")</f>
        <v>0</v>
      </c>
      <c r="E7" s="6">
        <f>COUNTIFS('Cut Over'!$D:$D,$A7,'Cut Over'!$F:$F,"완료")</f>
        <v>2</v>
      </c>
      <c r="F7" s="6">
        <f ca="1">COUNTIFS('Cut Over'!$D:$D,$A7,'Cut Over'!$F:$F,"시작전",'Cut Over'!$AB:$AB,"&lt;"&amp;TODAY())</f>
        <v>0</v>
      </c>
      <c r="G7" s="6">
        <f ca="1">COUNTIFS('Cut Over'!$D:$D,$A7,'Cut Over'!$F:$F,"&lt;&gt;완료",'Cut Over'!$AE:$AE,"&lt;"&amp;TODAY(),'Cut Over'!$AE:$AE,"&lt;&gt;"&amp;"")</f>
        <v>0</v>
      </c>
      <c r="H7" s="7">
        <f t="shared" si="1"/>
        <v>0.66666666666666663</v>
      </c>
      <c r="I7" s="8" t="s">
        <v>134</v>
      </c>
    </row>
    <row r="8" spans="1:9" x14ac:dyDescent="0.3">
      <c r="A8" s="5" t="s">
        <v>12</v>
      </c>
      <c r="B8" s="6">
        <f>COUNTIF('Cut Over'!$D:$D,$A8)</f>
        <v>4</v>
      </c>
      <c r="C8" s="6">
        <f>COUNTIFS('Cut Over'!$D:$D,$A8,'Cut Over'!$F:$F,"시작전")</f>
        <v>4</v>
      </c>
      <c r="D8" s="6">
        <f>COUNTIFS('Cut Over'!$D:$D,$A8,'Cut Over'!$F:$F,"진행중")</f>
        <v>0</v>
      </c>
      <c r="E8" s="6">
        <f>COUNTIFS('Cut Over'!$D:$D,$A8,'Cut Over'!$F:$F,"완료")</f>
        <v>0</v>
      </c>
      <c r="F8" s="6">
        <f ca="1">COUNTIFS('Cut Over'!$D:$D,$A8,'Cut Over'!$F:$F,"시작전",'Cut Over'!$AB:$AB,"&lt;"&amp;TODAY())</f>
        <v>0</v>
      </c>
      <c r="G8" s="6">
        <f ca="1">COUNTIFS('Cut Over'!$D:$D,$A8,'Cut Over'!$F:$F,"&lt;&gt;완료",'Cut Over'!$AE:$AE,"&lt;"&amp;TODAY(),'Cut Over'!$AE:$AE,"&lt;&gt;"&amp;"")</f>
        <v>0</v>
      </c>
      <c r="H8" s="7">
        <f t="shared" si="1"/>
        <v>0</v>
      </c>
      <c r="I8" s="8" t="s">
        <v>135</v>
      </c>
    </row>
    <row r="9" spans="1:9" x14ac:dyDescent="0.3">
      <c r="A9" s="5" t="s">
        <v>136</v>
      </c>
      <c r="B9" s="6">
        <f>COUNTIF('Cut Over'!$D:$D,$A9)</f>
        <v>3</v>
      </c>
      <c r="C9" s="6">
        <f>COUNTIFS('Cut Over'!$D:$D,$A9,'Cut Over'!$F:$F,"시작전")</f>
        <v>3</v>
      </c>
      <c r="D9" s="6">
        <f>COUNTIFS('Cut Over'!$D:$D,$A9,'Cut Over'!$F:$F,"진행중")</f>
        <v>0</v>
      </c>
      <c r="E9" s="6">
        <f>COUNTIFS('Cut Over'!$D:$D,$A9,'Cut Over'!$F:$F,"완료")</f>
        <v>0</v>
      </c>
      <c r="F9" s="6">
        <f ca="1">COUNTIFS('Cut Over'!$D:$D,$A9,'Cut Over'!$F:$F,"시작전",'Cut Over'!$AB:$AB,"&lt;"&amp;TODAY())</f>
        <v>0</v>
      </c>
      <c r="G9" s="6">
        <f ca="1">COUNTIFS('Cut Over'!$D:$D,$A9,'Cut Over'!$F:$F,"&lt;&gt;완료",'Cut Over'!$AE:$AE,"&lt;"&amp;TODAY(),'Cut Over'!$AE:$AE,"&lt;&gt;"&amp;"")</f>
        <v>0</v>
      </c>
      <c r="H9" s="7">
        <f t="shared" ref="H9" si="2">IF(B9=0,0,E9/B9)</f>
        <v>0</v>
      </c>
      <c r="I9" s="8" t="s">
        <v>137</v>
      </c>
    </row>
    <row r="10" spans="1:9" x14ac:dyDescent="0.3">
      <c r="A10" s="5" t="s">
        <v>138</v>
      </c>
      <c r="B10" s="6">
        <f>COUNTIF('Cut Over'!$D:$D,$A10)</f>
        <v>3</v>
      </c>
      <c r="C10" s="6">
        <f>COUNTIFS('Cut Over'!$D:$D,$A10,'Cut Over'!$F:$F,"시작전")</f>
        <v>3</v>
      </c>
      <c r="D10" s="6">
        <f>COUNTIFS('Cut Over'!$D:$D,$A10,'Cut Over'!$F:$F,"진행중")</f>
        <v>0</v>
      </c>
      <c r="E10" s="6">
        <f>COUNTIFS('Cut Over'!$D:$D,$A10,'Cut Over'!$F:$F,"완료")</f>
        <v>0</v>
      </c>
      <c r="F10" s="6">
        <f ca="1">COUNTIFS('Cut Over'!$D:$D,$A10,'Cut Over'!$F:$F,"시작전",'Cut Over'!$AB:$AB,"&lt;"&amp;TODAY())</f>
        <v>0</v>
      </c>
      <c r="G10" s="6">
        <f ca="1">COUNTIFS('Cut Over'!$D:$D,$A10,'Cut Over'!$F:$F,"&lt;&gt;완료",'Cut Over'!$AE:$AE,"&lt;"&amp;TODAY(),'Cut Over'!$AE:$AE,"&lt;&gt;"&amp;"")</f>
        <v>0</v>
      </c>
      <c r="H10" s="7">
        <f>IF(B10=0,0,E10/B10)</f>
        <v>0</v>
      </c>
      <c r="I10" s="8" t="s">
        <v>139</v>
      </c>
    </row>
    <row r="11" spans="1:9" ht="24" customHeight="1" x14ac:dyDescent="0.3">
      <c r="A11" s="5" t="s">
        <v>140</v>
      </c>
      <c r="B11" s="6">
        <f>COUNTIF('Cut Over'!$D:$D,$A11)</f>
        <v>3</v>
      </c>
      <c r="C11" s="6">
        <f>COUNTIFS('Cut Over'!$D:$D,$A11,'Cut Over'!$F:$F,"시작전")</f>
        <v>3</v>
      </c>
      <c r="D11" s="6">
        <f>COUNTIFS('Cut Over'!$D:$D,$A11,'Cut Over'!$F:$F,"진행중")</f>
        <v>0</v>
      </c>
      <c r="E11" s="6">
        <f>COUNTIFS('Cut Over'!$D:$D,$A11,'Cut Over'!$F:$F,"완료")</f>
        <v>0</v>
      </c>
      <c r="F11" s="6">
        <f ca="1">COUNTIFS('Cut Over'!$D:$D,$A11,'Cut Over'!$F:$F,"시작전",'Cut Over'!$AB:$AB,"&lt;"&amp;TODAY())</f>
        <v>0</v>
      </c>
      <c r="G11" s="6">
        <f ca="1">COUNTIFS('Cut Over'!$D:$D,$A11,'Cut Over'!$F:$F,"&lt;&gt;완료",'Cut Over'!$AE:$AE,"&lt;"&amp;TODAY(),'Cut Over'!$AE:$AE,"&lt;&gt;"&amp;"")</f>
        <v>0</v>
      </c>
      <c r="H11" s="7">
        <f>IF(B11=0,0,E11/B11)</f>
        <v>0</v>
      </c>
      <c r="I11" s="8" t="s">
        <v>141</v>
      </c>
    </row>
    <row r="12" spans="1:9" ht="24" customHeight="1" x14ac:dyDescent="0.3">
      <c r="A12" s="5" t="s">
        <v>142</v>
      </c>
      <c r="B12" s="6">
        <f>COUNTIF('Cut Over'!$D:$D,$A12)</f>
        <v>7</v>
      </c>
      <c r="C12" s="6">
        <f>COUNTIFS('Cut Over'!$D:$D,$A12,'Cut Over'!$F:$F,"시작전")</f>
        <v>7</v>
      </c>
      <c r="D12" s="6">
        <f>COUNTIFS('Cut Over'!$D:$D,$A12,'Cut Over'!$F:$F,"진행중")</f>
        <v>0</v>
      </c>
      <c r="E12" s="6">
        <f>COUNTIFS('Cut Over'!$D:$D,$A12,'Cut Over'!$F:$F,"완료")</f>
        <v>0</v>
      </c>
      <c r="F12" s="6">
        <f ca="1">COUNTIFS('Cut Over'!$D:$D,$A12,'Cut Over'!$F:$F,"시작전",'Cut Over'!$AB:$AB,"&lt;"&amp;TODAY())</f>
        <v>0</v>
      </c>
      <c r="G12" s="6">
        <f ca="1">COUNTIFS('Cut Over'!$D:$D,$A12,'Cut Over'!$F:$F,"&lt;&gt;완료",'Cut Over'!$AE:$AE,"&lt;"&amp;TODAY(),'Cut Over'!$AE:$AE,"&lt;&gt;"&amp;"")</f>
        <v>0</v>
      </c>
      <c r="H12" s="7">
        <f>IF(B12=0,0,E12/B12)</f>
        <v>0</v>
      </c>
      <c r="I12" s="8" t="s">
        <v>143</v>
      </c>
    </row>
    <row r="13" spans="1:9" ht="24" customHeight="1" x14ac:dyDescent="0.3">
      <c r="A13" s="5" t="s">
        <v>144</v>
      </c>
      <c r="B13" s="6">
        <f>COUNTIF('Cut Over'!$D:$D,$A13)</f>
        <v>5</v>
      </c>
      <c r="C13" s="6">
        <f>COUNTIFS('Cut Over'!$D:$D,$A13,'Cut Over'!$F:$F,"시작전")</f>
        <v>5</v>
      </c>
      <c r="D13" s="6">
        <f>COUNTIFS('Cut Over'!$D:$D,$A13,'Cut Over'!$F:$F,"진행중")</f>
        <v>0</v>
      </c>
      <c r="E13" s="6">
        <f>COUNTIFS('Cut Over'!$D:$D,$A13,'Cut Over'!$F:$F,"완료")</f>
        <v>0</v>
      </c>
      <c r="F13" s="6">
        <f ca="1">COUNTIFS('Cut Over'!$D:$D,$A13,'Cut Over'!$F:$F,"시작전",'Cut Over'!$AB:$AB,"&lt;"&amp;TODAY())</f>
        <v>0</v>
      </c>
      <c r="G13" s="6">
        <f ca="1">COUNTIFS('Cut Over'!$D:$D,$A13,'Cut Over'!$F:$F,"&lt;&gt;완료",'Cut Over'!$AE:$AE,"&lt;"&amp;TODAY(),'Cut Over'!$AE:$AE,"&lt;&gt;"&amp;"")</f>
        <v>0</v>
      </c>
      <c r="H13" s="7">
        <f>IF(B13=0,0,E13/B13)</f>
        <v>0</v>
      </c>
      <c r="I13" s="8" t="s">
        <v>145</v>
      </c>
    </row>
    <row r="14" spans="1:9" ht="24" customHeight="1" x14ac:dyDescent="0.3">
      <c r="A14" s="5" t="s">
        <v>40</v>
      </c>
      <c r="B14" s="6">
        <f>COUNTIF('Cut Over'!$D:$D,$A14)</f>
        <v>1</v>
      </c>
      <c r="C14" s="6">
        <f>COUNTIFS('Cut Over'!$D:$D,$A14,'Cut Over'!$F:$F,"시작전")</f>
        <v>1</v>
      </c>
      <c r="D14" s="6">
        <f>COUNTIFS('Cut Over'!$D:$D,$A14,'Cut Over'!$F:$F,"진행중")</f>
        <v>0</v>
      </c>
      <c r="E14" s="6">
        <f>COUNTIFS('Cut Over'!$D:$D,$A14,'Cut Over'!$F:$F,"완료")</f>
        <v>0</v>
      </c>
      <c r="F14" s="6">
        <f ca="1">COUNTIFS('Cut Over'!$D:$D,$A14,'Cut Over'!$F:$F,"시작전",'Cut Over'!$AB:$AB,"&lt;"&amp;TODAY())</f>
        <v>0</v>
      </c>
      <c r="G14" s="6">
        <f ca="1">COUNTIFS('Cut Over'!$D:$D,$A14,'Cut Over'!$F:$F,"&lt;&gt;완료",'Cut Over'!$AE:$AE,"&lt;"&amp;TODAY(),'Cut Over'!$AE:$AE,"&lt;&gt;"&amp;"")</f>
        <v>0</v>
      </c>
      <c r="H14" s="7">
        <f t="shared" si="1"/>
        <v>0</v>
      </c>
      <c r="I14" s="8" t="s">
        <v>146</v>
      </c>
    </row>
    <row r="15" spans="1:9" ht="24" customHeight="1" x14ac:dyDescent="0.3">
      <c r="A15" s="5" t="s">
        <v>147</v>
      </c>
      <c r="B15" s="6">
        <f>COUNTIF('Cut Over'!$D:$D,$A15)</f>
        <v>1</v>
      </c>
      <c r="C15" s="6">
        <f>COUNTIFS('Cut Over'!$D:$D,$A15,'Cut Over'!$F:$F,"시작전")</f>
        <v>1</v>
      </c>
      <c r="D15" s="6">
        <f>COUNTIFS('Cut Over'!$D:$D,$A15,'Cut Over'!$F:$F,"진행중")</f>
        <v>0</v>
      </c>
      <c r="E15" s="6">
        <f>COUNTIFS('Cut Over'!$D:$D,$A15,'Cut Over'!$F:$F,"완료")</f>
        <v>0</v>
      </c>
      <c r="F15" s="6">
        <f ca="1">COUNTIFS('Cut Over'!$D:$D,$A15,'Cut Over'!$F:$F,"시작전",'Cut Over'!$AB:$AB,"&lt;"&amp;TODAY())</f>
        <v>0</v>
      </c>
      <c r="G15" s="6">
        <f ca="1">COUNTIFS('Cut Over'!$D:$D,$A15,'Cut Over'!$F:$F,"&lt;&gt;완료",'Cut Over'!$AE:$AE,"&lt;"&amp;TODAY(),'Cut Over'!$AE:$AE,"&lt;&gt;"&amp;"")</f>
        <v>0</v>
      </c>
      <c r="H15" s="7">
        <f t="shared" si="1"/>
        <v>0</v>
      </c>
      <c r="I15" s="8" t="s">
        <v>148</v>
      </c>
    </row>
    <row r="16" spans="1:9" ht="24" customHeight="1" x14ac:dyDescent="0.3">
      <c r="A16" s="5" t="s">
        <v>15</v>
      </c>
      <c r="B16" s="6">
        <f>COUNTIF('Cut Over'!$D:$D,$A16)</f>
        <v>2</v>
      </c>
      <c r="C16" s="6">
        <f>COUNTIFS('Cut Over'!$D:$D,$A16,'Cut Over'!$F:$F,"시작전")</f>
        <v>2</v>
      </c>
      <c r="D16" s="6">
        <f>COUNTIFS('Cut Over'!$D:$D,$A16,'Cut Over'!$F:$F,"진행중")</f>
        <v>0</v>
      </c>
      <c r="E16" s="6">
        <f>COUNTIFS('Cut Over'!$D:$D,$A16,'Cut Over'!$F:$F,"완료")</f>
        <v>0</v>
      </c>
      <c r="F16" s="6">
        <f ca="1">COUNTIFS('Cut Over'!$D:$D,$A16,'Cut Over'!$F:$F,"시작전",'Cut Over'!$AB:$AB,"&lt;"&amp;TODAY())</f>
        <v>0</v>
      </c>
      <c r="G16" s="6">
        <f ca="1">COUNTIFS('Cut Over'!$D:$D,$A16,'Cut Over'!$F:$F,"&lt;&gt;완료",'Cut Over'!$AE:$AE,"&lt;"&amp;TODAY(),'Cut Over'!$AE:$AE,"&lt;&gt;"&amp;"")</f>
        <v>0</v>
      </c>
      <c r="H16" s="7">
        <f t="shared" si="1"/>
        <v>0</v>
      </c>
      <c r="I16" s="8" t="s">
        <v>149</v>
      </c>
    </row>
    <row r="17" spans="1:9" ht="24" customHeight="1" x14ac:dyDescent="0.3">
      <c r="A17" s="5"/>
      <c r="B17" s="6"/>
      <c r="C17" s="6"/>
      <c r="D17" s="6"/>
      <c r="E17" s="6"/>
      <c r="F17" s="6"/>
      <c r="G17" s="6"/>
      <c r="H17" s="7"/>
      <c r="I17" s="8"/>
    </row>
    <row r="18" spans="1:9" ht="24" customHeight="1" x14ac:dyDescent="0.3">
      <c r="A18" s="5"/>
      <c r="B18" s="6"/>
      <c r="C18" s="6"/>
      <c r="D18" s="6"/>
      <c r="E18" s="6"/>
      <c r="F18" s="6"/>
      <c r="G18" s="6"/>
      <c r="H18" s="7"/>
      <c r="I18" s="8"/>
    </row>
    <row r="19" spans="1:9" ht="24" customHeight="1" x14ac:dyDescent="0.3">
      <c r="A19" s="5"/>
      <c r="B19" s="6"/>
      <c r="C19" s="6"/>
      <c r="D19" s="6"/>
      <c r="E19" s="6"/>
      <c r="F19" s="6"/>
      <c r="G19" s="6"/>
      <c r="H19" s="7"/>
      <c r="I19" s="8"/>
    </row>
    <row r="21" spans="1:9" ht="26.1" customHeight="1" x14ac:dyDescent="0.3">
      <c r="A21" s="53" t="s">
        <v>16</v>
      </c>
      <c r="B21" s="52"/>
      <c r="C21" s="52"/>
      <c r="D21" s="52"/>
      <c r="E21" s="52"/>
      <c r="F21" s="52"/>
      <c r="G21" s="52"/>
      <c r="H21" s="52"/>
      <c r="I21" s="52"/>
    </row>
    <row r="22" spans="1:9" ht="27.95" customHeight="1" x14ac:dyDescent="0.3">
      <c r="A22" s="2" t="s">
        <v>17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2" t="s">
        <v>7</v>
      </c>
      <c r="H22" s="2" t="s">
        <v>8</v>
      </c>
      <c r="I22" s="2" t="s">
        <v>9</v>
      </c>
    </row>
    <row r="23" spans="1:9" ht="26.1" customHeight="1" x14ac:dyDescent="0.3">
      <c r="A23" s="24" t="s">
        <v>150</v>
      </c>
      <c r="B23" s="6">
        <f>SUMPRODUCT(--('Cut Over'!$C$3:$C$216=$A23))</f>
        <v>12</v>
      </c>
      <c r="C23" s="6">
        <f>SUMPRODUCT(--('Cut Over'!$C$3:$C$216=$A23),--('Cut Over'!$F$3:$F$216="시작전"))</f>
        <v>10</v>
      </c>
      <c r="D23" s="6">
        <f>SUMPRODUCT(--('Cut Over'!$C$3:$C$216=$A23),--('Cut Over'!$F$3:$F$216="진행중"))</f>
        <v>0</v>
      </c>
      <c r="E23" s="6">
        <f>SUMPRODUCT(--('Cut Over'!$C$3:$C$216=$A23),--('Cut Over'!$F$3:$F$216="완료"))</f>
        <v>2</v>
      </c>
      <c r="F23" s="6">
        <f ca="1">SUMPRODUCT(--('Cut Over'!$C$3:$C$216=$A23),--('Cut Over'!$F$3:$F$216="시작전"),--('Cut Over'!$AB$3:$AB$216&lt;TODAY()),--('Cut Over'!$AB$3:$AB$216&lt;&gt;""))</f>
        <v>0</v>
      </c>
      <c r="G23" s="6">
        <f ca="1">SUMPRODUCT(--('Cut Over'!$C$3:$C$216=$A23),--('Cut Over'!$F$3:$F$216&lt;&gt;"완료"),--('Cut Over'!$AE$3:$AE$216&lt;TODAY()),--('Cut Over'!$AE$3:$AE$216&lt;&gt;""))</f>
        <v>0</v>
      </c>
      <c r="H23" s="7">
        <f>IF(B23=0,0,E23/B23)</f>
        <v>0.16666666666666666</v>
      </c>
      <c r="I23" s="8" t="s">
        <v>151</v>
      </c>
    </row>
    <row r="24" spans="1:9" ht="26.1" customHeight="1" x14ac:dyDescent="0.3">
      <c r="A24" s="24" t="s">
        <v>152</v>
      </c>
      <c r="B24" s="6">
        <f>SUMPRODUCT(--('Cut Over'!$C$3:$C$216=$A24))</f>
        <v>18</v>
      </c>
      <c r="C24" s="6">
        <f>SUMPRODUCT(--('Cut Over'!$C$3:$C$216=$A24),--('Cut Over'!$F$3:$F$216="시작전"))</f>
        <v>18</v>
      </c>
      <c r="D24" s="6">
        <f>SUMPRODUCT(--('Cut Over'!$C$3:$C$216=$A24),--('Cut Over'!$F$3:$F$216="진행중"))</f>
        <v>0</v>
      </c>
      <c r="E24" s="6">
        <f>SUMPRODUCT(--('Cut Over'!$C$3:$C$216=$A24),--('Cut Over'!$F$3:$F$216="완료"))</f>
        <v>0</v>
      </c>
      <c r="F24" s="6">
        <f ca="1">SUMPRODUCT(--('Cut Over'!$C$3:$C$216=$A24),--('Cut Over'!$F$3:$F$216="시작전"),--('Cut Over'!$AB$3:$AB$216&lt;TODAY()),--('Cut Over'!$AB$3:$AB$216&lt;&gt;""))</f>
        <v>0</v>
      </c>
      <c r="G24" s="6">
        <f ca="1">SUMPRODUCT(--('Cut Over'!$C$3:$C$216=$A24),--('Cut Over'!$F$3:$F$216&lt;&gt;"완료"),--('Cut Over'!$AE$3:$AE$216&lt;TODAY()),--('Cut Over'!$AE$3:$AE$216&lt;&gt;""))</f>
        <v>0</v>
      </c>
      <c r="H24" s="7">
        <f>IF(B24=0,0,E24/B24)</f>
        <v>0</v>
      </c>
      <c r="I24" s="8" t="s">
        <v>153</v>
      </c>
    </row>
    <row r="25" spans="1:9" ht="26.1" customHeight="1" x14ac:dyDescent="0.3">
      <c r="A25" s="24" t="s">
        <v>154</v>
      </c>
      <c r="B25" s="6">
        <f>SUMPRODUCT(--('Cut Over'!$C$3:$C$216=$A25))</f>
        <v>2</v>
      </c>
      <c r="C25" s="6">
        <f>SUMPRODUCT(--('Cut Over'!$C$3:$C$216=$A25),--('Cut Over'!$F$3:$F$216="시작전"))</f>
        <v>2</v>
      </c>
      <c r="D25" s="6">
        <f>SUMPRODUCT(--('Cut Over'!$C$3:$C$216=$A25),--('Cut Over'!$F$3:$F$216="진행중"))</f>
        <v>0</v>
      </c>
      <c r="E25" s="6">
        <f>SUMPRODUCT(--('Cut Over'!$C$3:$C$216=$A25),--('Cut Over'!$F$3:$F$216="완료"))</f>
        <v>0</v>
      </c>
      <c r="F25" s="6">
        <f ca="1">SUMPRODUCT(--('Cut Over'!$C$3:$C$216=$A25),--('Cut Over'!$F$3:$F$216="시작전"),--('Cut Over'!$AB$3:$AB$216&lt;TODAY()),--('Cut Over'!$AB$3:$AB$216&lt;&gt;""))</f>
        <v>0</v>
      </c>
      <c r="G25" s="6">
        <f ca="1">SUMPRODUCT(--('Cut Over'!$C$3:$C$216=$A25),--('Cut Over'!$F$3:$F$216&lt;&gt;"완료"),--('Cut Over'!$AE$3:$AE$216&lt;TODAY()),--('Cut Over'!$AE$3:$AE$216&lt;&gt;""))</f>
        <v>0</v>
      </c>
      <c r="H25" s="7">
        <f>IF(B25=0,0,E25/B25)</f>
        <v>0</v>
      </c>
      <c r="I25" s="8" t="s">
        <v>155</v>
      </c>
    </row>
    <row r="27" spans="1:9" ht="26.1" customHeight="1" x14ac:dyDescent="0.3">
      <c r="A27" s="53" t="s">
        <v>18</v>
      </c>
      <c r="B27" s="52"/>
      <c r="C27" s="52"/>
      <c r="D27" s="52"/>
      <c r="E27" s="52"/>
      <c r="F27" s="52"/>
      <c r="G27" s="52"/>
      <c r="H27" s="52"/>
      <c r="I27" s="52"/>
    </row>
    <row r="28" spans="1:9" ht="26.1" customHeight="1" x14ac:dyDescent="0.3">
      <c r="A28" s="2" t="s">
        <v>19</v>
      </c>
      <c r="B28" s="2" t="s">
        <v>20</v>
      </c>
      <c r="C28" s="56" t="s">
        <v>21</v>
      </c>
      <c r="D28" s="56"/>
      <c r="E28" s="56"/>
      <c r="F28" s="56"/>
      <c r="G28" s="56"/>
      <c r="H28" s="56"/>
      <c r="I28" s="56"/>
    </row>
    <row r="29" spans="1:9" ht="24" customHeight="1" x14ac:dyDescent="0.3">
      <c r="A29" s="9" t="s">
        <v>156</v>
      </c>
      <c r="B29" s="25" t="s">
        <v>157</v>
      </c>
      <c r="C29" s="50" t="s">
        <v>158</v>
      </c>
      <c r="D29" s="50"/>
      <c r="E29" s="50"/>
      <c r="F29" s="50"/>
      <c r="G29" s="50"/>
      <c r="H29" s="50"/>
      <c r="I29" s="50"/>
    </row>
    <row r="30" spans="1:9" ht="24" customHeight="1" x14ac:dyDescent="0.3">
      <c r="A30" s="9" t="s">
        <v>159</v>
      </c>
      <c r="B30" s="10" t="s">
        <v>157</v>
      </c>
      <c r="C30" s="50" t="s">
        <v>160</v>
      </c>
      <c r="D30" s="50"/>
      <c r="E30" s="50"/>
      <c r="F30" s="50"/>
      <c r="G30" s="50"/>
      <c r="H30" s="50"/>
      <c r="I30" s="50"/>
    </row>
    <row r="31" spans="1:9" ht="24" customHeight="1" x14ac:dyDescent="0.3">
      <c r="A31" s="9" t="s">
        <v>98</v>
      </c>
      <c r="B31" s="10" t="s">
        <v>157</v>
      </c>
      <c r="C31" s="57" t="s">
        <v>161</v>
      </c>
      <c r="D31" s="57"/>
      <c r="E31" s="57"/>
      <c r="F31" s="57"/>
      <c r="G31" s="57"/>
      <c r="H31" s="57"/>
      <c r="I31" s="57"/>
    </row>
    <row r="32" spans="1:9" ht="24" customHeight="1" x14ac:dyDescent="0.3">
      <c r="A32" s="9" t="s">
        <v>162</v>
      </c>
      <c r="B32" s="11" t="s">
        <v>157</v>
      </c>
      <c r="C32" s="54" t="s">
        <v>163</v>
      </c>
      <c r="D32" s="54"/>
      <c r="E32" s="54"/>
      <c r="F32" s="54"/>
      <c r="G32" s="54"/>
      <c r="H32" s="54"/>
      <c r="I32" s="54"/>
    </row>
    <row r="33" spans="1:9" ht="24" customHeight="1" x14ac:dyDescent="0.3">
      <c r="A33" s="9" t="s">
        <v>131</v>
      </c>
      <c r="B33" s="10" t="s">
        <v>157</v>
      </c>
      <c r="C33" s="50" t="s">
        <v>164</v>
      </c>
      <c r="D33" s="50"/>
      <c r="E33" s="50"/>
      <c r="F33" s="50"/>
      <c r="G33" s="50"/>
      <c r="H33" s="50"/>
      <c r="I33" s="50"/>
    </row>
  </sheetData>
  <mergeCells count="11">
    <mergeCell ref="C33:I33"/>
    <mergeCell ref="A1:H1"/>
    <mergeCell ref="A4:I4"/>
    <mergeCell ref="C29:I29"/>
    <mergeCell ref="A27:I27"/>
    <mergeCell ref="C32:I32"/>
    <mergeCell ref="A21:I21"/>
    <mergeCell ref="A2:I2"/>
    <mergeCell ref="C28:I28"/>
    <mergeCell ref="C30:I30"/>
    <mergeCell ref="C31:I31"/>
  </mergeCells>
  <phoneticPr fontId="1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16"/>
  <sheetViews>
    <sheetView zoomScale="85" zoomScaleNormal="85" workbookViewId="0">
      <pane xSplit="5" ySplit="2" topLeftCell="F16" activePane="bottomRight" state="frozen"/>
      <selection pane="topRight"/>
      <selection pane="bottomLeft"/>
      <selection pane="bottomRight" activeCell="A34" sqref="A34:AN34"/>
    </sheetView>
  </sheetViews>
  <sheetFormatPr defaultRowHeight="16.5" x14ac:dyDescent="0.3"/>
  <cols>
    <col min="1" max="1" width="4.375" bestFit="1" customWidth="1"/>
    <col min="2" max="2" width="13.125" customWidth="1"/>
    <col min="3" max="3" width="26.375" customWidth="1"/>
    <col min="4" max="4" width="28.875" customWidth="1"/>
    <col min="5" max="5" width="43.125" customWidth="1"/>
    <col min="6" max="6" width="9.25" bestFit="1" customWidth="1"/>
    <col min="7" max="7" width="12.5" bestFit="1" customWidth="1"/>
    <col min="8" max="13" width="12.5" style="28" bestFit="1" customWidth="1"/>
    <col min="14" max="14" width="12.625" style="28" bestFit="1" customWidth="1"/>
    <col min="15" max="17" width="12.5" style="28" bestFit="1" customWidth="1"/>
    <col min="18" max="18" width="36.25" style="28" bestFit="1" customWidth="1"/>
    <col min="19" max="25" width="12.125" style="28" customWidth="1"/>
    <col min="26" max="26" width="12.5" style="28" customWidth="1"/>
    <col min="27" max="27" width="14" style="28" customWidth="1"/>
    <col min="28" max="28" width="13.375" customWidth="1"/>
    <col min="29" max="29" width="9.25" customWidth="1"/>
    <col min="30" max="30" width="13.25" customWidth="1"/>
    <col min="31" max="31" width="10.375" customWidth="1"/>
    <col min="32" max="32" width="10" customWidth="1"/>
    <col min="33" max="33" width="23" customWidth="1"/>
    <col min="34" max="34" width="11.875" hidden="1" customWidth="1"/>
    <col min="35" max="36" width="9.875" hidden="1" customWidth="1"/>
    <col min="37" max="37" width="15.5" hidden="1" customWidth="1"/>
    <col min="38" max="38" width="17.625" hidden="1" customWidth="1"/>
    <col min="39" max="39" width="2" customWidth="1"/>
    <col min="40" max="40" width="49.375" customWidth="1"/>
  </cols>
  <sheetData>
    <row r="1" spans="1:40" ht="17.25" thickBot="1" x14ac:dyDescent="0.35">
      <c r="R1" s="47"/>
      <c r="S1" s="48"/>
      <c r="T1" s="48"/>
      <c r="U1" s="48"/>
      <c r="V1" s="48"/>
      <c r="W1" s="49"/>
      <c r="X1" s="47"/>
      <c r="Y1" s="49"/>
      <c r="Z1" s="31"/>
    </row>
    <row r="2" spans="1:40" ht="99.75" thickBot="1" x14ac:dyDescent="0.35">
      <c r="A2" s="3" t="s">
        <v>23</v>
      </c>
      <c r="B2" s="3" t="s">
        <v>24</v>
      </c>
      <c r="C2" s="3" t="s">
        <v>17</v>
      </c>
      <c r="D2" s="3" t="s">
        <v>25</v>
      </c>
      <c r="E2" s="3" t="s">
        <v>26</v>
      </c>
      <c r="F2" s="3" t="s">
        <v>27</v>
      </c>
      <c r="G2" s="26" t="s">
        <v>59</v>
      </c>
      <c r="H2" s="26"/>
      <c r="I2" s="26"/>
      <c r="J2" s="26"/>
      <c r="K2" s="26"/>
      <c r="L2" s="27"/>
      <c r="M2" s="27"/>
      <c r="N2" s="26"/>
      <c r="O2" s="26"/>
      <c r="P2" s="26"/>
      <c r="Q2" s="26"/>
      <c r="R2" s="45"/>
      <c r="S2" s="45"/>
      <c r="T2" s="45"/>
      <c r="U2" s="45"/>
      <c r="V2" s="45"/>
      <c r="W2" s="45"/>
      <c r="X2" s="46"/>
      <c r="Y2" s="46"/>
      <c r="Z2" s="27"/>
      <c r="AA2" s="34" t="s">
        <v>22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/>
      <c r="AN2" s="3" t="s">
        <v>9</v>
      </c>
    </row>
    <row r="3" spans="1:40" ht="40.5" x14ac:dyDescent="0.3">
      <c r="A3" s="9">
        <v>1</v>
      </c>
      <c r="B3" s="12" t="s">
        <v>39</v>
      </c>
      <c r="C3" s="23" t="s">
        <v>60</v>
      </c>
      <c r="D3" s="13" t="s">
        <v>61</v>
      </c>
      <c r="E3" s="14" t="s">
        <v>62</v>
      </c>
      <c r="F3" s="33" t="s">
        <v>5</v>
      </c>
      <c r="G3" s="32"/>
      <c r="H3" s="30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 t="s">
        <v>63</v>
      </c>
      <c r="AB3" s="15"/>
      <c r="AC3" s="43"/>
      <c r="AD3" s="44">
        <v>2</v>
      </c>
      <c r="AE3" s="42"/>
      <c r="AF3" s="43"/>
      <c r="AG3" s="10" t="s">
        <v>64</v>
      </c>
      <c r="AH3" s="10" t="s">
        <v>64</v>
      </c>
      <c r="AI3" s="6" t="s">
        <v>65</v>
      </c>
      <c r="AJ3" s="6"/>
      <c r="AK3" s="16"/>
      <c r="AL3" s="16"/>
      <c r="AN3" s="8" t="s">
        <v>66</v>
      </c>
    </row>
    <row r="4" spans="1:40" ht="54" x14ac:dyDescent="0.3">
      <c r="A4" s="9">
        <v>2</v>
      </c>
      <c r="B4" s="12" t="s">
        <v>39</v>
      </c>
      <c r="C4" s="23" t="s">
        <v>60</v>
      </c>
      <c r="D4" s="13" t="s">
        <v>61</v>
      </c>
      <c r="E4" s="14" t="s">
        <v>67</v>
      </c>
      <c r="F4" s="33" t="s">
        <v>3</v>
      </c>
      <c r="G4" s="32"/>
      <c r="H4" s="30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 t="s">
        <v>63</v>
      </c>
      <c r="AB4" s="15"/>
      <c r="AC4" s="43"/>
      <c r="AD4" s="44">
        <v>3</v>
      </c>
      <c r="AE4" s="42"/>
      <c r="AF4" s="43"/>
      <c r="AG4" s="10" t="s">
        <v>64</v>
      </c>
      <c r="AH4" s="10" t="s">
        <v>64</v>
      </c>
      <c r="AI4" s="6"/>
      <c r="AJ4" s="6"/>
      <c r="AK4" s="16"/>
      <c r="AL4" s="16"/>
      <c r="AN4" s="8" t="s">
        <v>68</v>
      </c>
    </row>
    <row r="5" spans="1:40" ht="40.5" x14ac:dyDescent="0.3">
      <c r="A5" s="9">
        <v>3</v>
      </c>
      <c r="B5" s="12" t="s">
        <v>69</v>
      </c>
      <c r="C5" s="23" t="s">
        <v>60</v>
      </c>
      <c r="D5" s="13" t="s">
        <v>61</v>
      </c>
      <c r="E5" s="14" t="s">
        <v>70</v>
      </c>
      <c r="F5" s="33" t="s">
        <v>5</v>
      </c>
      <c r="G5" s="32"/>
      <c r="H5" s="30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 t="s">
        <v>63</v>
      </c>
      <c r="AB5" s="15"/>
      <c r="AC5" s="43"/>
      <c r="AD5" s="44">
        <v>1</v>
      </c>
      <c r="AE5" s="42"/>
      <c r="AF5" s="43"/>
      <c r="AG5" s="10" t="s">
        <v>64</v>
      </c>
      <c r="AH5" s="10" t="s">
        <v>64</v>
      </c>
      <c r="AI5" s="6" t="s">
        <v>65</v>
      </c>
      <c r="AJ5" s="6"/>
      <c r="AK5" s="16"/>
      <c r="AL5" s="16"/>
      <c r="AN5" s="8" t="s">
        <v>71</v>
      </c>
    </row>
    <row r="6" spans="1:40" ht="40.5" x14ac:dyDescent="0.3">
      <c r="A6" s="9">
        <v>4</v>
      </c>
      <c r="B6" s="12" t="s">
        <v>72</v>
      </c>
      <c r="C6" s="23" t="s">
        <v>60</v>
      </c>
      <c r="D6" s="13" t="s">
        <v>73</v>
      </c>
      <c r="E6" s="14" t="s">
        <v>74</v>
      </c>
      <c r="F6" s="33" t="s">
        <v>3</v>
      </c>
      <c r="G6" s="32"/>
      <c r="H6" s="30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 t="s">
        <v>63</v>
      </c>
      <c r="AB6" s="15"/>
      <c r="AC6" s="43"/>
      <c r="AD6" s="44">
        <v>0.5</v>
      </c>
      <c r="AE6" s="42"/>
      <c r="AF6" s="43"/>
      <c r="AG6" s="10" t="s">
        <v>64</v>
      </c>
      <c r="AH6" s="10" t="s">
        <v>75</v>
      </c>
      <c r="AI6" s="6"/>
      <c r="AJ6" s="6"/>
      <c r="AK6" s="16"/>
      <c r="AL6" s="16"/>
      <c r="AN6" s="8" t="s">
        <v>76</v>
      </c>
    </row>
    <row r="7" spans="1:40" ht="40.5" x14ac:dyDescent="0.3">
      <c r="A7" s="9">
        <v>5</v>
      </c>
      <c r="B7" s="12" t="s">
        <v>72</v>
      </c>
      <c r="C7" s="23" t="s">
        <v>60</v>
      </c>
      <c r="D7" s="13" t="s">
        <v>73</v>
      </c>
      <c r="E7" s="14" t="s">
        <v>77</v>
      </c>
      <c r="F7" s="33" t="s">
        <v>3</v>
      </c>
      <c r="G7" s="32"/>
      <c r="H7" s="30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 t="s">
        <v>63</v>
      </c>
      <c r="AB7" s="15"/>
      <c r="AC7" s="43"/>
      <c r="AD7" s="44">
        <v>0.5</v>
      </c>
      <c r="AE7" s="42"/>
      <c r="AF7" s="43"/>
      <c r="AG7" s="10" t="s">
        <v>64</v>
      </c>
      <c r="AH7" s="10" t="s">
        <v>64</v>
      </c>
      <c r="AI7" s="6"/>
      <c r="AJ7" s="6"/>
      <c r="AK7" s="16"/>
      <c r="AL7" s="16"/>
      <c r="AN7" s="8" t="s">
        <v>76</v>
      </c>
    </row>
    <row r="8" spans="1:40" ht="40.5" x14ac:dyDescent="0.3">
      <c r="A8" s="9">
        <v>6</v>
      </c>
      <c r="B8" s="12" t="s">
        <v>78</v>
      </c>
      <c r="C8" s="23" t="s">
        <v>60</v>
      </c>
      <c r="D8" s="13" t="s">
        <v>79</v>
      </c>
      <c r="E8" s="14" t="s">
        <v>80</v>
      </c>
      <c r="F8" s="33" t="s">
        <v>3</v>
      </c>
      <c r="G8" s="32"/>
      <c r="H8" s="30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 t="s">
        <v>63</v>
      </c>
      <c r="AB8" s="15"/>
      <c r="AC8" s="43"/>
      <c r="AD8" s="44">
        <v>1</v>
      </c>
      <c r="AE8" s="42"/>
      <c r="AF8" s="43"/>
      <c r="AG8" s="10" t="s">
        <v>64</v>
      </c>
      <c r="AH8" s="10" t="s">
        <v>75</v>
      </c>
      <c r="AI8" s="6"/>
      <c r="AJ8" s="6"/>
      <c r="AK8" s="16"/>
      <c r="AL8" s="16"/>
      <c r="AN8" s="8" t="s">
        <v>76</v>
      </c>
    </row>
    <row r="9" spans="1:40" ht="40.5" x14ac:dyDescent="0.3">
      <c r="A9" s="9">
        <v>7</v>
      </c>
      <c r="B9" s="12" t="s">
        <v>39</v>
      </c>
      <c r="C9" s="23" t="s">
        <v>60</v>
      </c>
      <c r="D9" s="13" t="s">
        <v>79</v>
      </c>
      <c r="E9" s="14" t="s">
        <v>81</v>
      </c>
      <c r="F9" s="33" t="s">
        <v>3</v>
      </c>
      <c r="G9" s="32"/>
      <c r="H9" s="30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 t="s">
        <v>63</v>
      </c>
      <c r="AB9" s="15"/>
      <c r="AC9" s="43"/>
      <c r="AD9" s="44">
        <v>2</v>
      </c>
      <c r="AE9" s="42"/>
      <c r="AF9" s="43"/>
      <c r="AG9" s="10" t="s">
        <v>64</v>
      </c>
      <c r="AH9" s="10" t="s">
        <v>64</v>
      </c>
      <c r="AI9" s="6"/>
      <c r="AJ9" s="6"/>
      <c r="AK9" s="16"/>
      <c r="AL9" s="16"/>
      <c r="AN9" s="8" t="s">
        <v>82</v>
      </c>
    </row>
    <row r="10" spans="1:40" ht="40.5" x14ac:dyDescent="0.3">
      <c r="A10" s="9">
        <v>8</v>
      </c>
      <c r="B10" s="12" t="s">
        <v>83</v>
      </c>
      <c r="C10" s="23" t="s">
        <v>60</v>
      </c>
      <c r="D10" s="13" t="s">
        <v>79</v>
      </c>
      <c r="E10" s="14" t="s">
        <v>84</v>
      </c>
      <c r="F10" s="33" t="s">
        <v>3</v>
      </c>
      <c r="G10" s="32"/>
      <c r="H10" s="30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 t="s">
        <v>63</v>
      </c>
      <c r="AB10" s="15"/>
      <c r="AC10" s="43"/>
      <c r="AD10" s="44">
        <v>3</v>
      </c>
      <c r="AE10" s="42"/>
      <c r="AF10" s="43"/>
      <c r="AG10" s="10" t="s">
        <v>64</v>
      </c>
      <c r="AH10" s="10" t="s">
        <v>75</v>
      </c>
      <c r="AI10" s="6"/>
      <c r="AJ10" s="6"/>
      <c r="AK10" s="16"/>
      <c r="AL10" s="16"/>
      <c r="AN10" s="8" t="s">
        <v>85</v>
      </c>
    </row>
    <row r="11" spans="1:40" ht="40.5" x14ac:dyDescent="0.3">
      <c r="A11" s="9">
        <v>9</v>
      </c>
      <c r="B11" s="12" t="s">
        <v>86</v>
      </c>
      <c r="C11" s="23" t="s">
        <v>60</v>
      </c>
      <c r="D11" s="13" t="s">
        <v>87</v>
      </c>
      <c r="E11" s="14" t="s">
        <v>88</v>
      </c>
      <c r="F11" s="33" t="s">
        <v>3</v>
      </c>
      <c r="G11" s="32"/>
      <c r="H11" s="30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 t="s">
        <v>63</v>
      </c>
      <c r="AB11" s="15"/>
      <c r="AC11" s="43"/>
      <c r="AD11" s="44">
        <v>4</v>
      </c>
      <c r="AE11" s="42"/>
      <c r="AF11" s="43"/>
      <c r="AG11" s="10" t="s">
        <v>64</v>
      </c>
      <c r="AH11" s="10" t="s">
        <v>75</v>
      </c>
      <c r="AI11" s="6"/>
      <c r="AJ11" s="6"/>
      <c r="AK11" s="16"/>
      <c r="AL11" s="16"/>
      <c r="AN11" s="8" t="s">
        <v>89</v>
      </c>
    </row>
    <row r="12" spans="1:40" ht="40.5" x14ac:dyDescent="0.3">
      <c r="A12" s="9">
        <v>10</v>
      </c>
      <c r="B12" s="12" t="s">
        <v>69</v>
      </c>
      <c r="C12" s="23" t="s">
        <v>60</v>
      </c>
      <c r="D12" s="13" t="s">
        <v>87</v>
      </c>
      <c r="E12" s="14" t="s">
        <v>90</v>
      </c>
      <c r="F12" s="33" t="s">
        <v>3</v>
      </c>
      <c r="G12" s="32"/>
      <c r="H12" s="30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 t="s">
        <v>63</v>
      </c>
      <c r="AB12" s="15"/>
      <c r="AC12" s="43"/>
      <c r="AD12" s="44">
        <v>4</v>
      </c>
      <c r="AE12" s="42"/>
      <c r="AF12" s="43"/>
      <c r="AG12" s="10" t="s">
        <v>64</v>
      </c>
      <c r="AH12" s="10" t="s">
        <v>91</v>
      </c>
      <c r="AI12" s="6"/>
      <c r="AJ12" s="6"/>
      <c r="AK12" s="16"/>
      <c r="AL12" s="16"/>
      <c r="AN12" s="8" t="s">
        <v>92</v>
      </c>
    </row>
    <row r="13" spans="1:40" ht="40.5" x14ac:dyDescent="0.3">
      <c r="A13" s="9">
        <v>11</v>
      </c>
      <c r="B13" s="12" t="s">
        <v>93</v>
      </c>
      <c r="C13" s="23" t="s">
        <v>60</v>
      </c>
      <c r="D13" s="13" t="s">
        <v>87</v>
      </c>
      <c r="E13" s="14" t="s">
        <v>94</v>
      </c>
      <c r="F13" s="33" t="s">
        <v>3</v>
      </c>
      <c r="G13" s="32"/>
      <c r="H13" s="30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 t="s">
        <v>63</v>
      </c>
      <c r="AB13" s="15"/>
      <c r="AC13" s="43"/>
      <c r="AD13" s="44">
        <v>2</v>
      </c>
      <c r="AE13" s="42"/>
      <c r="AF13" s="43"/>
      <c r="AG13" s="10" t="s">
        <v>64</v>
      </c>
      <c r="AH13" s="10" t="s">
        <v>95</v>
      </c>
      <c r="AI13" s="6"/>
      <c r="AJ13" s="6"/>
      <c r="AK13" s="16"/>
      <c r="AL13" s="16"/>
      <c r="AN13" s="8" t="s">
        <v>96</v>
      </c>
    </row>
    <row r="14" spans="1:40" ht="40.5" x14ac:dyDescent="0.3">
      <c r="A14" s="9">
        <v>12</v>
      </c>
      <c r="B14" s="12" t="s">
        <v>72</v>
      </c>
      <c r="C14" s="23" t="s">
        <v>60</v>
      </c>
      <c r="D14" s="13" t="s">
        <v>73</v>
      </c>
      <c r="E14" s="14" t="s">
        <v>97</v>
      </c>
      <c r="F14" s="33" t="s">
        <v>3</v>
      </c>
      <c r="G14" s="32"/>
      <c r="H14" s="30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 t="s">
        <v>63</v>
      </c>
      <c r="AB14" s="15"/>
      <c r="AC14" s="43"/>
      <c r="AD14" s="44">
        <v>1</v>
      </c>
      <c r="AE14" s="42"/>
      <c r="AF14" s="43"/>
      <c r="AG14" s="10" t="s">
        <v>64</v>
      </c>
      <c r="AH14" s="10" t="s">
        <v>64</v>
      </c>
      <c r="AI14" s="6"/>
      <c r="AJ14" s="6"/>
      <c r="AK14" s="16"/>
      <c r="AL14" s="16"/>
      <c r="AN14" s="8" t="s">
        <v>98</v>
      </c>
    </row>
    <row r="15" spans="1:40" ht="40.5" x14ac:dyDescent="0.3">
      <c r="A15" s="9">
        <v>13</v>
      </c>
      <c r="B15" s="12" t="s">
        <v>72</v>
      </c>
      <c r="C15" s="23" t="s">
        <v>99</v>
      </c>
      <c r="D15" s="13" t="s">
        <v>73</v>
      </c>
      <c r="E15" s="14" t="s">
        <v>100</v>
      </c>
      <c r="F15" s="33" t="s">
        <v>3</v>
      </c>
      <c r="G15" s="32"/>
      <c r="H15" s="30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 t="s">
        <v>63</v>
      </c>
      <c r="AB15" s="15"/>
      <c r="AC15" s="43"/>
      <c r="AD15" s="44">
        <v>0.5</v>
      </c>
      <c r="AE15" s="42"/>
      <c r="AF15" s="43"/>
      <c r="AG15" s="10" t="s">
        <v>64</v>
      </c>
      <c r="AH15" s="10" t="s">
        <v>64</v>
      </c>
      <c r="AI15" s="6"/>
      <c r="AJ15" s="6"/>
      <c r="AK15" s="16"/>
      <c r="AL15" s="16"/>
      <c r="AN15" s="8" t="s">
        <v>101</v>
      </c>
    </row>
    <row r="16" spans="1:40" ht="40.5" x14ac:dyDescent="0.3">
      <c r="A16" s="9">
        <v>14</v>
      </c>
      <c r="B16" s="12" t="s">
        <v>78</v>
      </c>
      <c r="C16" s="23" t="s">
        <v>99</v>
      </c>
      <c r="D16" s="13" t="s">
        <v>102</v>
      </c>
      <c r="E16" s="14" t="s">
        <v>103</v>
      </c>
      <c r="F16" s="33" t="s">
        <v>3</v>
      </c>
      <c r="G16" s="32"/>
      <c r="H16" s="30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 t="s">
        <v>63</v>
      </c>
      <c r="AB16" s="15"/>
      <c r="AC16" s="43"/>
      <c r="AD16" s="44">
        <v>1</v>
      </c>
      <c r="AE16" s="42"/>
      <c r="AF16" s="43"/>
      <c r="AG16" s="10" t="s">
        <v>64</v>
      </c>
      <c r="AH16" s="10" t="s">
        <v>75</v>
      </c>
      <c r="AI16" s="6"/>
      <c r="AJ16" s="6"/>
      <c r="AK16" s="16"/>
      <c r="AL16" s="16"/>
      <c r="AN16" s="8" t="s">
        <v>101</v>
      </c>
    </row>
    <row r="17" spans="1:40" ht="40.5" x14ac:dyDescent="0.3">
      <c r="A17" s="9">
        <v>15</v>
      </c>
      <c r="B17" s="12" t="s">
        <v>78</v>
      </c>
      <c r="C17" s="23" t="s">
        <v>99</v>
      </c>
      <c r="D17" s="13" t="s">
        <v>102</v>
      </c>
      <c r="E17" s="14" t="s">
        <v>104</v>
      </c>
      <c r="F17" s="33" t="s">
        <v>3</v>
      </c>
      <c r="G17" s="32"/>
      <c r="H17" s="30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 t="s">
        <v>63</v>
      </c>
      <c r="AB17" s="15"/>
      <c r="AC17" s="43"/>
      <c r="AD17" s="44">
        <v>0.25</v>
      </c>
      <c r="AE17" s="42"/>
      <c r="AF17" s="43"/>
      <c r="AG17" s="10" t="s">
        <v>64</v>
      </c>
      <c r="AH17" s="10" t="s">
        <v>64</v>
      </c>
      <c r="AI17" s="6"/>
      <c r="AJ17" s="6"/>
      <c r="AK17" s="16"/>
      <c r="AL17" s="16"/>
      <c r="AN17" s="8" t="s">
        <v>105</v>
      </c>
    </row>
    <row r="18" spans="1:40" ht="40.5" x14ac:dyDescent="0.3">
      <c r="A18" s="9">
        <v>16</v>
      </c>
      <c r="B18" s="12" t="s">
        <v>39</v>
      </c>
      <c r="C18" s="23" t="s">
        <v>99</v>
      </c>
      <c r="D18" s="13" t="s">
        <v>102</v>
      </c>
      <c r="E18" s="14" t="s">
        <v>106</v>
      </c>
      <c r="F18" s="33" t="s">
        <v>3</v>
      </c>
      <c r="G18" s="32"/>
      <c r="H18" s="30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 t="s">
        <v>63</v>
      </c>
      <c r="AB18" s="15"/>
      <c r="AC18" s="43"/>
      <c r="AD18" s="44">
        <v>0.5</v>
      </c>
      <c r="AE18" s="42"/>
      <c r="AF18" s="43"/>
      <c r="AG18" s="10" t="s">
        <v>64</v>
      </c>
      <c r="AH18" s="10" t="s">
        <v>64</v>
      </c>
      <c r="AI18" s="6"/>
      <c r="AJ18" s="6"/>
      <c r="AK18" s="16"/>
      <c r="AL18" s="16"/>
      <c r="AN18" s="8" t="s">
        <v>105</v>
      </c>
    </row>
    <row r="19" spans="1:40" ht="40.5" x14ac:dyDescent="0.3">
      <c r="A19" s="9">
        <v>17</v>
      </c>
      <c r="B19" s="12" t="s">
        <v>83</v>
      </c>
      <c r="C19" s="23" t="s">
        <v>99</v>
      </c>
      <c r="D19" s="13" t="s">
        <v>107</v>
      </c>
      <c r="E19" s="14" t="s">
        <v>108</v>
      </c>
      <c r="F19" s="33" t="s">
        <v>3</v>
      </c>
      <c r="G19" s="32"/>
      <c r="H19" s="30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 t="s">
        <v>63</v>
      </c>
      <c r="AB19" s="15"/>
      <c r="AC19" s="43"/>
      <c r="AD19" s="44">
        <v>0.25</v>
      </c>
      <c r="AE19" s="42"/>
      <c r="AF19" s="43"/>
      <c r="AG19" s="10" t="s">
        <v>75</v>
      </c>
      <c r="AH19" s="10" t="s">
        <v>64</v>
      </c>
      <c r="AI19" s="6"/>
      <c r="AJ19" s="6"/>
      <c r="AK19" s="16"/>
      <c r="AL19" s="16"/>
      <c r="AN19" s="8" t="s">
        <v>109</v>
      </c>
    </row>
    <row r="20" spans="1:40" ht="40.5" x14ac:dyDescent="0.3">
      <c r="A20" s="9">
        <v>18</v>
      </c>
      <c r="B20" s="12" t="s">
        <v>83</v>
      </c>
      <c r="C20" s="23" t="s">
        <v>99</v>
      </c>
      <c r="D20" s="13" t="s">
        <v>107</v>
      </c>
      <c r="E20" s="14" t="s">
        <v>110</v>
      </c>
      <c r="F20" s="33" t="s">
        <v>3</v>
      </c>
      <c r="G20" s="32"/>
      <c r="H20" s="30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 t="s">
        <v>63</v>
      </c>
      <c r="AB20" s="15"/>
      <c r="AC20" s="43"/>
      <c r="AD20" s="44">
        <v>0.25</v>
      </c>
      <c r="AE20" s="42"/>
      <c r="AF20" s="43"/>
      <c r="AG20" s="10" t="s">
        <v>75</v>
      </c>
      <c r="AH20" s="10" t="s">
        <v>64</v>
      </c>
      <c r="AI20" s="6"/>
      <c r="AJ20" s="6"/>
      <c r="AK20" s="16"/>
      <c r="AL20" s="16"/>
      <c r="AN20" s="8" t="s">
        <v>105</v>
      </c>
    </row>
    <row r="21" spans="1:40" ht="40.5" x14ac:dyDescent="0.3">
      <c r="A21" s="9">
        <v>19</v>
      </c>
      <c r="B21" s="12" t="s">
        <v>83</v>
      </c>
      <c r="C21" s="23" t="s">
        <v>99</v>
      </c>
      <c r="D21" s="13" t="s">
        <v>107</v>
      </c>
      <c r="E21" s="14" t="s">
        <v>111</v>
      </c>
      <c r="F21" s="33" t="s">
        <v>3</v>
      </c>
      <c r="G21" s="32"/>
      <c r="H21" s="30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 t="s">
        <v>63</v>
      </c>
      <c r="AB21" s="15"/>
      <c r="AC21" s="43"/>
      <c r="AD21" s="44">
        <v>1</v>
      </c>
      <c r="AE21" s="42"/>
      <c r="AF21" s="43"/>
      <c r="AG21" s="10" t="s">
        <v>75</v>
      </c>
      <c r="AH21" s="10" t="s">
        <v>95</v>
      </c>
      <c r="AI21" s="6"/>
      <c r="AJ21" s="6"/>
      <c r="AK21" s="16"/>
      <c r="AL21" s="16"/>
      <c r="AN21" s="8" t="s">
        <v>105</v>
      </c>
    </row>
    <row r="22" spans="1:40" ht="40.5" x14ac:dyDescent="0.3">
      <c r="A22" s="9">
        <v>20</v>
      </c>
      <c r="B22" s="12" t="s">
        <v>83</v>
      </c>
      <c r="C22" s="23" t="s">
        <v>99</v>
      </c>
      <c r="D22" s="13" t="s">
        <v>107</v>
      </c>
      <c r="E22" s="14" t="s">
        <v>112</v>
      </c>
      <c r="F22" s="33" t="s">
        <v>3</v>
      </c>
      <c r="G22" s="32"/>
      <c r="H22" s="30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 t="s">
        <v>63</v>
      </c>
      <c r="AB22" s="15"/>
      <c r="AC22" s="43"/>
      <c r="AD22" s="44">
        <v>0.25</v>
      </c>
      <c r="AE22" s="42"/>
      <c r="AF22" s="43"/>
      <c r="AG22" s="10" t="s">
        <v>64</v>
      </c>
      <c r="AH22" s="10" t="s">
        <v>75</v>
      </c>
      <c r="AI22" s="6"/>
      <c r="AJ22" s="6"/>
      <c r="AK22" s="16"/>
      <c r="AL22" s="16"/>
      <c r="AN22" s="8" t="s">
        <v>105</v>
      </c>
    </row>
    <row r="23" spans="1:40" ht="40.5" x14ac:dyDescent="0.3">
      <c r="A23" s="9">
        <v>21</v>
      </c>
      <c r="B23" s="12" t="s">
        <v>83</v>
      </c>
      <c r="C23" s="23" t="s">
        <v>99</v>
      </c>
      <c r="D23" s="13" t="s">
        <v>107</v>
      </c>
      <c r="E23" s="14" t="s">
        <v>113</v>
      </c>
      <c r="F23" s="33" t="s">
        <v>3</v>
      </c>
      <c r="G23" s="32"/>
      <c r="H23" s="30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 t="s">
        <v>63</v>
      </c>
      <c r="AB23" s="15"/>
      <c r="AC23" s="43"/>
      <c r="AD23" s="44">
        <v>1</v>
      </c>
      <c r="AE23" s="42"/>
      <c r="AF23" s="43"/>
      <c r="AG23" s="10" t="s">
        <v>75</v>
      </c>
      <c r="AH23" s="10" t="s">
        <v>64</v>
      </c>
      <c r="AI23" s="6"/>
      <c r="AJ23" s="6"/>
      <c r="AK23" s="16"/>
      <c r="AL23" s="16"/>
      <c r="AN23" s="8" t="s">
        <v>105</v>
      </c>
    </row>
    <row r="24" spans="1:40" ht="40.5" x14ac:dyDescent="0.3">
      <c r="A24" s="9">
        <v>22</v>
      </c>
      <c r="B24" s="12" t="s">
        <v>83</v>
      </c>
      <c r="C24" s="23" t="s">
        <v>99</v>
      </c>
      <c r="D24" s="13" t="s">
        <v>107</v>
      </c>
      <c r="E24" s="14" t="s">
        <v>114</v>
      </c>
      <c r="F24" s="33" t="s">
        <v>3</v>
      </c>
      <c r="G24" s="32"/>
      <c r="H24" s="30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 t="s">
        <v>63</v>
      </c>
      <c r="AB24" s="15"/>
      <c r="AC24" s="43"/>
      <c r="AD24" s="44">
        <v>0.5</v>
      </c>
      <c r="AE24" s="42"/>
      <c r="AF24" s="43"/>
      <c r="AG24" s="10" t="s">
        <v>75</v>
      </c>
      <c r="AH24" s="10" t="s">
        <v>64</v>
      </c>
      <c r="AI24" s="6"/>
      <c r="AJ24" s="6"/>
      <c r="AK24" s="16"/>
      <c r="AL24" s="16"/>
      <c r="AN24" s="8" t="s">
        <v>105</v>
      </c>
    </row>
    <row r="25" spans="1:40" ht="40.5" x14ac:dyDescent="0.3">
      <c r="A25" s="9">
        <v>23</v>
      </c>
      <c r="B25" s="12" t="s">
        <v>83</v>
      </c>
      <c r="C25" s="23" t="s">
        <v>99</v>
      </c>
      <c r="D25" s="13" t="s">
        <v>107</v>
      </c>
      <c r="E25" s="14" t="s">
        <v>115</v>
      </c>
      <c r="F25" s="33" t="s">
        <v>3</v>
      </c>
      <c r="G25" s="32"/>
      <c r="H25" s="30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 t="s">
        <v>63</v>
      </c>
      <c r="AB25" s="15"/>
      <c r="AC25" s="43"/>
      <c r="AD25" s="44">
        <v>0.5</v>
      </c>
      <c r="AE25" s="42"/>
      <c r="AF25" s="43"/>
      <c r="AG25" s="10" t="s">
        <v>64</v>
      </c>
      <c r="AH25" s="10" t="s">
        <v>64</v>
      </c>
      <c r="AI25" s="6"/>
      <c r="AJ25" s="6"/>
      <c r="AK25" s="16"/>
      <c r="AL25" s="16"/>
      <c r="AN25" s="8" t="s">
        <v>116</v>
      </c>
    </row>
    <row r="26" spans="1:40" ht="40.5" x14ac:dyDescent="0.3">
      <c r="A26" s="9">
        <v>24</v>
      </c>
      <c r="B26" s="12" t="s">
        <v>86</v>
      </c>
      <c r="C26" s="23" t="s">
        <v>99</v>
      </c>
      <c r="D26" s="13" t="s">
        <v>117</v>
      </c>
      <c r="E26" s="14" t="s">
        <v>118</v>
      </c>
      <c r="F26" s="33" t="s">
        <v>3</v>
      </c>
      <c r="G26" s="32"/>
      <c r="H26" s="30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 t="s">
        <v>63</v>
      </c>
      <c r="AB26" s="15"/>
      <c r="AC26" s="43"/>
      <c r="AD26" s="44">
        <v>0.5</v>
      </c>
      <c r="AE26" s="42"/>
      <c r="AF26" s="43"/>
      <c r="AG26" s="10" t="s">
        <v>64</v>
      </c>
      <c r="AH26" s="10" t="s">
        <v>75</v>
      </c>
      <c r="AI26" s="6"/>
      <c r="AJ26" s="6"/>
      <c r="AK26" s="16"/>
      <c r="AL26" s="16"/>
      <c r="AN26" s="8" t="s">
        <v>105</v>
      </c>
    </row>
    <row r="27" spans="1:40" ht="40.5" x14ac:dyDescent="0.3">
      <c r="A27" s="9">
        <v>25</v>
      </c>
      <c r="B27" s="12" t="s">
        <v>86</v>
      </c>
      <c r="C27" s="23" t="s">
        <v>99</v>
      </c>
      <c r="D27" s="13" t="s">
        <v>117</v>
      </c>
      <c r="E27" s="14" t="s">
        <v>119</v>
      </c>
      <c r="F27" s="33" t="s">
        <v>3</v>
      </c>
      <c r="G27" s="32"/>
      <c r="H27" s="30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 t="s">
        <v>63</v>
      </c>
      <c r="AB27" s="15"/>
      <c r="AC27" s="43"/>
      <c r="AD27" s="44">
        <v>1</v>
      </c>
      <c r="AE27" s="42"/>
      <c r="AF27" s="43"/>
      <c r="AG27" s="10" t="s">
        <v>64</v>
      </c>
      <c r="AH27" s="10" t="s">
        <v>75</v>
      </c>
      <c r="AI27" s="6"/>
      <c r="AJ27" s="6"/>
      <c r="AK27" s="16"/>
      <c r="AL27" s="16"/>
      <c r="AN27" s="8" t="s">
        <v>120</v>
      </c>
    </row>
    <row r="28" spans="1:40" ht="40.5" x14ac:dyDescent="0.3">
      <c r="A28" s="9">
        <v>26</v>
      </c>
      <c r="B28" s="12" t="s">
        <v>86</v>
      </c>
      <c r="C28" s="23" t="s">
        <v>99</v>
      </c>
      <c r="D28" s="13" t="s">
        <v>117</v>
      </c>
      <c r="E28" s="14" t="s">
        <v>121</v>
      </c>
      <c r="F28" s="33" t="s">
        <v>3</v>
      </c>
      <c r="G28" s="32"/>
      <c r="H28" s="30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 t="s">
        <v>63</v>
      </c>
      <c r="AB28" s="15"/>
      <c r="AC28" s="43"/>
      <c r="AD28" s="44">
        <v>1</v>
      </c>
      <c r="AE28" s="42"/>
      <c r="AF28" s="43"/>
      <c r="AG28" s="10" t="s">
        <v>64</v>
      </c>
      <c r="AH28" s="10" t="s">
        <v>75</v>
      </c>
      <c r="AI28" s="6"/>
      <c r="AJ28" s="6"/>
      <c r="AK28" s="16"/>
      <c r="AL28" s="16"/>
      <c r="AN28" s="8" t="s">
        <v>105</v>
      </c>
    </row>
    <row r="29" spans="1:40" ht="40.5" x14ac:dyDescent="0.3">
      <c r="A29" s="9">
        <v>27</v>
      </c>
      <c r="B29" s="12" t="s">
        <v>86</v>
      </c>
      <c r="C29" s="23" t="s">
        <v>99</v>
      </c>
      <c r="D29" s="13" t="s">
        <v>117</v>
      </c>
      <c r="E29" s="14" t="s">
        <v>122</v>
      </c>
      <c r="F29" s="33" t="s">
        <v>3</v>
      </c>
      <c r="G29" s="32"/>
      <c r="H29" s="30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 t="s">
        <v>63</v>
      </c>
      <c r="AB29" s="15"/>
      <c r="AC29" s="43"/>
      <c r="AD29" s="44">
        <v>1</v>
      </c>
      <c r="AE29" s="42"/>
      <c r="AF29" s="43"/>
      <c r="AG29" s="10" t="s">
        <v>64</v>
      </c>
      <c r="AH29" s="10" t="s">
        <v>95</v>
      </c>
      <c r="AI29" s="6"/>
      <c r="AJ29" s="6"/>
      <c r="AK29" s="16"/>
      <c r="AL29" s="16"/>
      <c r="AN29" s="8" t="s">
        <v>105</v>
      </c>
    </row>
    <row r="30" spans="1:40" ht="40.5" x14ac:dyDescent="0.3">
      <c r="A30" s="9">
        <v>28</v>
      </c>
      <c r="B30" s="12" t="s">
        <v>86</v>
      </c>
      <c r="C30" s="23" t="s">
        <v>99</v>
      </c>
      <c r="D30" s="13" t="s">
        <v>117</v>
      </c>
      <c r="E30" s="14" t="s">
        <v>123</v>
      </c>
      <c r="F30" s="33" t="s">
        <v>3</v>
      </c>
      <c r="G30" s="32"/>
      <c r="H30" s="30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 t="s">
        <v>63</v>
      </c>
      <c r="AB30" s="15"/>
      <c r="AC30" s="43"/>
      <c r="AD30" s="44">
        <v>1</v>
      </c>
      <c r="AE30" s="42"/>
      <c r="AF30" s="43"/>
      <c r="AG30" s="10" t="s">
        <v>64</v>
      </c>
      <c r="AH30" s="10" t="s">
        <v>75</v>
      </c>
      <c r="AI30" s="6"/>
      <c r="AJ30" s="6"/>
      <c r="AK30" s="16"/>
      <c r="AL30" s="16"/>
      <c r="AN30" s="8" t="s">
        <v>105</v>
      </c>
    </row>
    <row r="31" spans="1:40" ht="40.5" x14ac:dyDescent="0.3">
      <c r="A31" s="9">
        <v>29</v>
      </c>
      <c r="B31" s="12" t="s">
        <v>69</v>
      </c>
      <c r="C31" s="23" t="s">
        <v>99</v>
      </c>
      <c r="D31" s="13" t="s">
        <v>13</v>
      </c>
      <c r="E31" s="14" t="s">
        <v>124</v>
      </c>
      <c r="F31" s="33" t="s">
        <v>3</v>
      </c>
      <c r="G31" s="32"/>
      <c r="H31" s="30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 t="s">
        <v>63</v>
      </c>
      <c r="AB31" s="15"/>
      <c r="AC31" s="43"/>
      <c r="AD31" s="44">
        <v>1</v>
      </c>
      <c r="AE31" s="42"/>
      <c r="AF31" s="43"/>
      <c r="AG31" s="10" t="s">
        <v>64</v>
      </c>
      <c r="AH31" s="10" t="s">
        <v>91</v>
      </c>
      <c r="AI31" s="6"/>
      <c r="AJ31" s="6"/>
      <c r="AK31" s="16"/>
      <c r="AL31" s="16"/>
      <c r="AN31" s="8" t="s">
        <v>105</v>
      </c>
    </row>
    <row r="32" spans="1:40" ht="40.5" x14ac:dyDescent="0.3">
      <c r="A32" s="9">
        <v>30</v>
      </c>
      <c r="B32" s="12" t="s">
        <v>72</v>
      </c>
      <c r="C32" s="23" t="s">
        <v>99</v>
      </c>
      <c r="D32" s="13" t="s">
        <v>14</v>
      </c>
      <c r="E32" s="14" t="s">
        <v>125</v>
      </c>
      <c r="F32" s="33" t="s">
        <v>3</v>
      </c>
      <c r="G32" s="32"/>
      <c r="H32" s="30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 t="s">
        <v>63</v>
      </c>
      <c r="AB32" s="15"/>
      <c r="AC32" s="43"/>
      <c r="AD32" s="44">
        <v>0.25</v>
      </c>
      <c r="AE32" s="42"/>
      <c r="AF32" s="43"/>
      <c r="AG32" s="10" t="s">
        <v>75</v>
      </c>
      <c r="AH32" s="10" t="s">
        <v>75</v>
      </c>
      <c r="AI32" s="6"/>
      <c r="AJ32" s="6"/>
      <c r="AK32" s="16"/>
      <c r="AL32" s="16"/>
      <c r="AN32" s="8" t="s">
        <v>105</v>
      </c>
    </row>
    <row r="33" spans="1:41" ht="40.5" x14ac:dyDescent="0.3">
      <c r="A33" s="9">
        <v>31</v>
      </c>
      <c r="B33" s="12" t="s">
        <v>126</v>
      </c>
      <c r="C33" s="23" t="s">
        <v>127</v>
      </c>
      <c r="D33" s="13" t="s">
        <v>126</v>
      </c>
      <c r="E33" s="14" t="s">
        <v>128</v>
      </c>
      <c r="F33" s="33" t="s">
        <v>3</v>
      </c>
      <c r="G33" s="32"/>
      <c r="H33" s="30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 t="s">
        <v>63</v>
      </c>
      <c r="AB33" s="15"/>
      <c r="AC33" s="43"/>
      <c r="AD33" s="44">
        <v>0.5</v>
      </c>
      <c r="AE33" s="42"/>
      <c r="AF33" s="43"/>
      <c r="AG33" s="10" t="s">
        <v>64</v>
      </c>
      <c r="AH33" s="10" t="s">
        <v>75</v>
      </c>
      <c r="AI33" s="6"/>
      <c r="AJ33" s="6"/>
      <c r="AK33" s="16"/>
      <c r="AL33" s="16"/>
      <c r="AN33" s="8" t="s">
        <v>129</v>
      </c>
    </row>
    <row r="34" spans="1:41" ht="40.5" x14ac:dyDescent="0.3">
      <c r="A34" s="9">
        <v>32</v>
      </c>
      <c r="B34" s="12" t="s">
        <v>126</v>
      </c>
      <c r="C34" s="23" t="s">
        <v>127</v>
      </c>
      <c r="D34" s="13" t="s">
        <v>126</v>
      </c>
      <c r="E34" s="14" t="s">
        <v>130</v>
      </c>
      <c r="F34" s="33" t="s">
        <v>3</v>
      </c>
      <c r="G34" s="32"/>
      <c r="H34" s="30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 t="s">
        <v>63</v>
      </c>
      <c r="AB34" s="15"/>
      <c r="AC34" s="43"/>
      <c r="AD34" s="44">
        <v>1</v>
      </c>
      <c r="AE34" s="42"/>
      <c r="AF34" s="43"/>
      <c r="AG34" s="10" t="s">
        <v>64</v>
      </c>
      <c r="AH34" s="10" t="s">
        <v>75</v>
      </c>
      <c r="AI34" s="6"/>
      <c r="AJ34" s="6"/>
      <c r="AK34" s="16"/>
      <c r="AL34" s="16"/>
      <c r="AN34" s="8" t="s">
        <v>131</v>
      </c>
    </row>
    <row r="35" spans="1:41" ht="46.9" customHeight="1" x14ac:dyDescent="0.3"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</row>
    <row r="36" spans="1:41" x14ac:dyDescent="0.3"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</row>
    <row r="37" spans="1:41" x14ac:dyDescent="0.3"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</row>
    <row r="38" spans="1:41" x14ac:dyDescent="0.3"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1:41" x14ac:dyDescent="0.3"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</row>
    <row r="40" spans="1:41" x14ac:dyDescent="0.3"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</row>
    <row r="41" spans="1:41" x14ac:dyDescent="0.3"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</row>
    <row r="42" spans="1:41" x14ac:dyDescent="0.3"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</row>
    <row r="43" spans="1:41" x14ac:dyDescent="0.3"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</row>
    <row r="44" spans="1:41" x14ac:dyDescent="0.3"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O44" s="8"/>
    </row>
    <row r="45" spans="1:41" x14ac:dyDescent="0.3"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O45" s="8"/>
    </row>
    <row r="46" spans="1:41" x14ac:dyDescent="0.3"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O46" s="8"/>
    </row>
    <row r="47" spans="1:41" x14ac:dyDescent="0.3"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O47" s="8"/>
    </row>
    <row r="48" spans="1:41" x14ac:dyDescent="0.3"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</row>
    <row r="49" spans="8:27" x14ac:dyDescent="0.3"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</row>
    <row r="50" spans="8:27" x14ac:dyDescent="0.3"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</row>
    <row r="51" spans="8:27" x14ac:dyDescent="0.3"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</row>
    <row r="52" spans="8:27" x14ac:dyDescent="0.3"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8:27" x14ac:dyDescent="0.3"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</row>
    <row r="54" spans="8:27" x14ac:dyDescent="0.3"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</row>
    <row r="55" spans="8:27" x14ac:dyDescent="0.3"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8:27" x14ac:dyDescent="0.3"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8:27" x14ac:dyDescent="0.3"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8:27" x14ac:dyDescent="0.3"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8:27" x14ac:dyDescent="0.3"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8:27" x14ac:dyDescent="0.3"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8:27" x14ac:dyDescent="0.3"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8:27" x14ac:dyDescent="0.3"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8:27" x14ac:dyDescent="0.3"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8:27" x14ac:dyDescent="0.3"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8:27" x14ac:dyDescent="0.3"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8:27" x14ac:dyDescent="0.3"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8:27" x14ac:dyDescent="0.3"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8:27" x14ac:dyDescent="0.3"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8:27" x14ac:dyDescent="0.3"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pans="8:27" x14ac:dyDescent="0.3"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</row>
    <row r="71" spans="8:27" x14ac:dyDescent="0.3"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8:27" x14ac:dyDescent="0.3"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8:27" x14ac:dyDescent="0.3"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8:27" x14ac:dyDescent="0.3"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8:27" x14ac:dyDescent="0.3"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8:27" x14ac:dyDescent="0.3"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8:27" x14ac:dyDescent="0.3"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8:27" x14ac:dyDescent="0.3"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8:27" x14ac:dyDescent="0.3"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8:27" x14ac:dyDescent="0.3"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8:27" x14ac:dyDescent="0.3"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8:27" x14ac:dyDescent="0.3"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8:27" x14ac:dyDescent="0.3"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8:27" x14ac:dyDescent="0.3"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8:27" x14ac:dyDescent="0.3"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8:27" x14ac:dyDescent="0.3"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8:27" x14ac:dyDescent="0.3"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8:27" x14ac:dyDescent="0.3"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8:27" x14ac:dyDescent="0.3"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8:27" x14ac:dyDescent="0.3"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8:27" x14ac:dyDescent="0.3"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8:27" x14ac:dyDescent="0.3"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8:27" x14ac:dyDescent="0.3"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8:27" x14ac:dyDescent="0.3"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8:27" x14ac:dyDescent="0.3"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8:27" x14ac:dyDescent="0.3"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8:27" x14ac:dyDescent="0.3"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8:27" x14ac:dyDescent="0.3"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8:27" x14ac:dyDescent="0.3"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8:27" x14ac:dyDescent="0.3"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8:27" x14ac:dyDescent="0.3"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8:27" x14ac:dyDescent="0.3"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8:27" x14ac:dyDescent="0.3"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8:27" x14ac:dyDescent="0.3"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8:27" x14ac:dyDescent="0.3"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8:27" x14ac:dyDescent="0.3"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8:27" x14ac:dyDescent="0.3"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8:27" x14ac:dyDescent="0.3"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8:27" x14ac:dyDescent="0.3"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8:27" x14ac:dyDescent="0.3"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8:27" x14ac:dyDescent="0.3"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8:27" x14ac:dyDescent="0.3"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8:27" x14ac:dyDescent="0.3"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8:27" x14ac:dyDescent="0.3"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8:27" x14ac:dyDescent="0.3"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8:27" x14ac:dyDescent="0.3"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8:27" x14ac:dyDescent="0.3"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8:27" x14ac:dyDescent="0.3"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8:27" x14ac:dyDescent="0.3"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8:27" x14ac:dyDescent="0.3"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8:27" x14ac:dyDescent="0.3"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8:27" x14ac:dyDescent="0.3"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8:27" x14ac:dyDescent="0.3"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8:27" x14ac:dyDescent="0.3"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8:27" x14ac:dyDescent="0.3"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8:27" x14ac:dyDescent="0.3"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8:27" x14ac:dyDescent="0.3"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8:27" x14ac:dyDescent="0.3"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8:27" x14ac:dyDescent="0.3"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8:27" x14ac:dyDescent="0.3"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8:27" x14ac:dyDescent="0.3"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8:27" x14ac:dyDescent="0.3"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8:27" x14ac:dyDescent="0.3"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8:27" x14ac:dyDescent="0.3"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8:27" x14ac:dyDescent="0.3"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8:27" x14ac:dyDescent="0.3"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8:27" x14ac:dyDescent="0.3"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8:27" x14ac:dyDescent="0.3"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8:27" x14ac:dyDescent="0.3"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8:27" x14ac:dyDescent="0.3"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8:27" x14ac:dyDescent="0.3"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8:27" x14ac:dyDescent="0.3"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8:27" x14ac:dyDescent="0.3"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8:27" x14ac:dyDescent="0.3"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8:27" x14ac:dyDescent="0.3"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8:27" x14ac:dyDescent="0.3"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8:27" x14ac:dyDescent="0.3"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8:27" x14ac:dyDescent="0.3"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8:27" x14ac:dyDescent="0.3"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8:27" x14ac:dyDescent="0.3"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8:27" x14ac:dyDescent="0.3"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8:27" x14ac:dyDescent="0.3"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8:27" x14ac:dyDescent="0.3"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8:27" x14ac:dyDescent="0.3"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8:27" x14ac:dyDescent="0.3"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8:27" x14ac:dyDescent="0.3"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8:27" x14ac:dyDescent="0.3"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8:27" x14ac:dyDescent="0.3"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8:27" x14ac:dyDescent="0.3"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8:27" x14ac:dyDescent="0.3"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8:27" x14ac:dyDescent="0.3"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8:27" x14ac:dyDescent="0.3"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8:27" x14ac:dyDescent="0.3"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8:27" x14ac:dyDescent="0.3"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8:27" x14ac:dyDescent="0.3"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8:27" x14ac:dyDescent="0.3"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8:27" x14ac:dyDescent="0.3"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8:27" x14ac:dyDescent="0.3"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8:27" x14ac:dyDescent="0.3"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8:27" x14ac:dyDescent="0.3"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8:27" x14ac:dyDescent="0.3"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8:27" x14ac:dyDescent="0.3"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8:27" x14ac:dyDescent="0.3"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8:27" x14ac:dyDescent="0.3"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8:27" x14ac:dyDescent="0.3"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8:27" x14ac:dyDescent="0.3"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8:27" x14ac:dyDescent="0.3"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8:27" x14ac:dyDescent="0.3"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8:27" x14ac:dyDescent="0.3"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8:27" x14ac:dyDescent="0.3"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8:27" x14ac:dyDescent="0.3"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8:27" x14ac:dyDescent="0.3"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8:27" x14ac:dyDescent="0.3"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8:27" x14ac:dyDescent="0.3"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8:27" x14ac:dyDescent="0.3"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8:27" x14ac:dyDescent="0.3"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8:27" x14ac:dyDescent="0.3"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8:27" x14ac:dyDescent="0.3"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8:27" x14ac:dyDescent="0.3"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8:27" x14ac:dyDescent="0.3"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8:27" x14ac:dyDescent="0.3"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8:27" x14ac:dyDescent="0.3"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8:27" x14ac:dyDescent="0.3"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8:27" x14ac:dyDescent="0.3"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8:27" x14ac:dyDescent="0.3"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8:27" x14ac:dyDescent="0.3"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8:27" x14ac:dyDescent="0.3"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8:27" x14ac:dyDescent="0.3"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8:27" x14ac:dyDescent="0.3"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8:27" x14ac:dyDescent="0.3"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8:27" x14ac:dyDescent="0.3"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8:27" x14ac:dyDescent="0.3"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8:27" x14ac:dyDescent="0.3"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8:27" x14ac:dyDescent="0.3"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8:27" x14ac:dyDescent="0.3"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8:27" x14ac:dyDescent="0.3"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8:27" x14ac:dyDescent="0.3"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8:27" x14ac:dyDescent="0.3"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8:27" x14ac:dyDescent="0.3"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8:27" x14ac:dyDescent="0.3"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8:27" x14ac:dyDescent="0.3"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8:27" x14ac:dyDescent="0.3"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8:27" x14ac:dyDescent="0.3"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8:27" x14ac:dyDescent="0.3"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8:27" x14ac:dyDescent="0.3"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8:27" x14ac:dyDescent="0.3"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</sheetData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5E1F3-CD5E-4129-81E8-D4260C7C1B40}">
  <dimension ref="A1:M44"/>
  <sheetViews>
    <sheetView workbookViewId="0">
      <selection activeCell="U22" sqref="U22"/>
    </sheetView>
  </sheetViews>
  <sheetFormatPr defaultRowHeight="16.5" x14ac:dyDescent="0.3"/>
  <cols>
    <col min="1" max="1" width="4" customWidth="1"/>
    <col min="2" max="2" width="17" customWidth="1"/>
    <col min="3" max="3" width="30" customWidth="1"/>
    <col min="4" max="4" width="46.375" customWidth="1"/>
    <col min="5" max="5" width="32" customWidth="1"/>
    <col min="6" max="6" width="22" customWidth="1"/>
    <col min="7" max="7" width="13" customWidth="1"/>
    <col min="8" max="8" width="7.5" bestFit="1" customWidth="1"/>
    <col min="9" max="9" width="10.875" customWidth="1"/>
    <col min="10" max="11" width="8" customWidth="1"/>
    <col min="13" max="13" width="20" customWidth="1"/>
  </cols>
  <sheetData>
    <row r="1" spans="1:13" ht="36" customHeight="1" x14ac:dyDescent="0.3">
      <c r="A1" s="51" t="s">
        <v>165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13" ht="21.95" customHeight="1" x14ac:dyDescent="0.3">
      <c r="A2" s="55" t="s">
        <v>166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3" ht="27" x14ac:dyDescent="0.3">
      <c r="A3" s="9" t="s">
        <v>41</v>
      </c>
      <c r="B3" s="14"/>
      <c r="C3" s="9" t="s">
        <v>42</v>
      </c>
      <c r="D3" s="14"/>
      <c r="E3" s="9" t="s">
        <v>43</v>
      </c>
      <c r="F3" s="14"/>
      <c r="G3" s="9" t="s">
        <v>44</v>
      </c>
      <c r="H3" s="14" t="s">
        <v>45</v>
      </c>
      <c r="I3" s="35"/>
      <c r="J3" s="35"/>
      <c r="K3" s="35"/>
      <c r="L3" s="35"/>
      <c r="M3" s="35"/>
    </row>
    <row r="5" spans="1:13" ht="26.1" customHeight="1" x14ac:dyDescent="0.3">
      <c r="A5" s="53" t="s">
        <v>46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</row>
    <row r="6" spans="1:13" ht="30" customHeight="1" x14ac:dyDescent="0.3">
      <c r="A6" s="17" t="s">
        <v>23</v>
      </c>
      <c r="B6" s="17" t="s">
        <v>47</v>
      </c>
      <c r="C6" s="17" t="s">
        <v>48</v>
      </c>
      <c r="D6" s="17" t="s">
        <v>49</v>
      </c>
      <c r="E6" s="17" t="s">
        <v>50</v>
      </c>
      <c r="F6" s="17" t="s">
        <v>33</v>
      </c>
      <c r="G6" s="17" t="s">
        <v>51</v>
      </c>
      <c r="H6" s="17" t="s">
        <v>167</v>
      </c>
      <c r="I6" s="17" t="s">
        <v>168</v>
      </c>
      <c r="J6" s="17" t="s">
        <v>169</v>
      </c>
      <c r="K6" s="17" t="s">
        <v>170</v>
      </c>
      <c r="L6" s="17" t="s">
        <v>52</v>
      </c>
      <c r="M6" s="17" t="s">
        <v>9</v>
      </c>
    </row>
    <row r="7" spans="1:13" ht="17.25" x14ac:dyDescent="0.3">
      <c r="A7" s="9">
        <v>1</v>
      </c>
      <c r="B7" s="36" t="s">
        <v>53</v>
      </c>
      <c r="C7" s="37" t="s">
        <v>175</v>
      </c>
      <c r="D7" s="18" t="s">
        <v>176</v>
      </c>
      <c r="E7" s="18" t="s">
        <v>177</v>
      </c>
      <c r="F7" s="19" t="s">
        <v>64</v>
      </c>
      <c r="G7" s="38">
        <v>2</v>
      </c>
      <c r="H7" s="20" t="s">
        <v>178</v>
      </c>
      <c r="I7" s="20" t="s">
        <v>178</v>
      </c>
      <c r="J7" s="20" t="s">
        <v>178</v>
      </c>
      <c r="K7" s="20" t="s">
        <v>178</v>
      </c>
      <c r="L7" s="21" t="s">
        <v>55</v>
      </c>
      <c r="M7" s="8"/>
    </row>
    <row r="8" spans="1:13" ht="17.25" x14ac:dyDescent="0.3">
      <c r="A8" s="9">
        <v>2</v>
      </c>
      <c r="B8" s="36" t="s">
        <v>53</v>
      </c>
      <c r="C8" s="37" t="s">
        <v>179</v>
      </c>
      <c r="D8" s="18" t="s">
        <v>180</v>
      </c>
      <c r="E8" s="18" t="s">
        <v>181</v>
      </c>
      <c r="F8" s="19" t="s">
        <v>95</v>
      </c>
      <c r="G8" s="38">
        <v>2</v>
      </c>
      <c r="H8" s="20" t="s">
        <v>54</v>
      </c>
      <c r="I8" s="20" t="s">
        <v>54</v>
      </c>
      <c r="J8" s="20" t="s">
        <v>54</v>
      </c>
      <c r="K8" s="20" t="s">
        <v>178</v>
      </c>
      <c r="L8" s="21" t="s">
        <v>55</v>
      </c>
      <c r="M8" s="8"/>
    </row>
    <row r="9" spans="1:13" ht="17.25" x14ac:dyDescent="0.3">
      <c r="A9" s="9">
        <v>3</v>
      </c>
      <c r="B9" s="36" t="s">
        <v>53</v>
      </c>
      <c r="C9" s="37" t="s">
        <v>182</v>
      </c>
      <c r="D9" s="18" t="s">
        <v>183</v>
      </c>
      <c r="E9" s="18" t="s">
        <v>184</v>
      </c>
      <c r="F9" s="19" t="s">
        <v>64</v>
      </c>
      <c r="G9" s="38">
        <v>3</v>
      </c>
      <c r="H9" s="20" t="s">
        <v>178</v>
      </c>
      <c r="I9" s="20" t="s">
        <v>54</v>
      </c>
      <c r="J9" s="20" t="s">
        <v>54</v>
      </c>
      <c r="K9" s="20" t="s">
        <v>178</v>
      </c>
      <c r="L9" s="21" t="s">
        <v>55</v>
      </c>
      <c r="M9" s="8"/>
    </row>
    <row r="10" spans="1:13" ht="17.25" x14ac:dyDescent="0.3">
      <c r="A10" s="9">
        <v>4</v>
      </c>
      <c r="B10" s="36" t="s">
        <v>53</v>
      </c>
      <c r="C10" s="37" t="s">
        <v>185</v>
      </c>
      <c r="D10" s="18" t="s">
        <v>186</v>
      </c>
      <c r="E10" s="18" t="s">
        <v>187</v>
      </c>
      <c r="F10" s="19" t="s">
        <v>64</v>
      </c>
      <c r="G10" s="38">
        <v>3</v>
      </c>
      <c r="H10" s="20" t="s">
        <v>178</v>
      </c>
      <c r="I10" s="20" t="s">
        <v>178</v>
      </c>
      <c r="J10" s="20" t="s">
        <v>54</v>
      </c>
      <c r="K10" s="20" t="s">
        <v>54</v>
      </c>
      <c r="L10" s="21" t="s">
        <v>55</v>
      </c>
      <c r="M10" s="8"/>
    </row>
    <row r="11" spans="1:13" ht="24" x14ac:dyDescent="0.3">
      <c r="A11" s="9">
        <v>5</v>
      </c>
      <c r="B11" s="36" t="s">
        <v>53</v>
      </c>
      <c r="C11" s="37" t="s">
        <v>188</v>
      </c>
      <c r="D11" s="18" t="s">
        <v>189</v>
      </c>
      <c r="E11" s="18" t="s">
        <v>190</v>
      </c>
      <c r="F11" s="19" t="s">
        <v>64</v>
      </c>
      <c r="G11" s="38">
        <v>2</v>
      </c>
      <c r="H11" s="20" t="s">
        <v>54</v>
      </c>
      <c r="I11" s="20" t="s">
        <v>54</v>
      </c>
      <c r="J11" s="20" t="s">
        <v>54</v>
      </c>
      <c r="K11" s="20" t="s">
        <v>178</v>
      </c>
      <c r="L11" s="21" t="s">
        <v>55</v>
      </c>
      <c r="M11" s="8"/>
    </row>
    <row r="13" spans="1:13" ht="26.1" customHeight="1" x14ac:dyDescent="0.3">
      <c r="A13" s="53" t="s">
        <v>171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</row>
    <row r="14" spans="1:13" ht="30" customHeight="1" x14ac:dyDescent="0.3">
      <c r="A14" s="17" t="s">
        <v>23</v>
      </c>
      <c r="B14" s="17" t="s">
        <v>47</v>
      </c>
      <c r="C14" s="17" t="s">
        <v>48</v>
      </c>
      <c r="D14" s="17" t="s">
        <v>49</v>
      </c>
      <c r="E14" s="17" t="s">
        <v>50</v>
      </c>
      <c r="F14" s="17" t="s">
        <v>33</v>
      </c>
      <c r="G14" s="17" t="s">
        <v>51</v>
      </c>
      <c r="H14" s="17" t="s">
        <v>167</v>
      </c>
      <c r="I14" s="17" t="s">
        <v>168</v>
      </c>
      <c r="J14" s="17" t="s">
        <v>169</v>
      </c>
      <c r="K14" s="17" t="s">
        <v>170</v>
      </c>
      <c r="L14" s="17" t="s">
        <v>52</v>
      </c>
      <c r="M14" s="17" t="s">
        <v>9</v>
      </c>
    </row>
    <row r="15" spans="1:13" ht="24" x14ac:dyDescent="0.3">
      <c r="A15" s="9">
        <v>6</v>
      </c>
      <c r="B15" s="12" t="s">
        <v>191</v>
      </c>
      <c r="C15" s="37" t="s">
        <v>192</v>
      </c>
      <c r="D15" s="18" t="s">
        <v>193</v>
      </c>
      <c r="E15" s="18" t="s">
        <v>194</v>
      </c>
      <c r="F15" s="19" t="s">
        <v>64</v>
      </c>
      <c r="G15" s="38">
        <v>3</v>
      </c>
      <c r="H15" s="20" t="s">
        <v>178</v>
      </c>
      <c r="I15" s="22" t="s">
        <v>54</v>
      </c>
      <c r="J15" s="20" t="s">
        <v>54</v>
      </c>
      <c r="K15" s="20" t="s">
        <v>54</v>
      </c>
      <c r="L15" s="21" t="s">
        <v>55</v>
      </c>
      <c r="M15" s="8"/>
    </row>
    <row r="16" spans="1:13" ht="24" x14ac:dyDescent="0.3">
      <c r="A16" s="9">
        <v>7</v>
      </c>
      <c r="B16" s="13" t="s">
        <v>191</v>
      </c>
      <c r="C16" s="37" t="s">
        <v>195</v>
      </c>
      <c r="D16" s="18" t="s">
        <v>196</v>
      </c>
      <c r="E16" s="18" t="s">
        <v>197</v>
      </c>
      <c r="F16" s="19" t="s">
        <v>64</v>
      </c>
      <c r="G16" s="38">
        <v>2</v>
      </c>
      <c r="H16" s="20" t="s">
        <v>178</v>
      </c>
      <c r="I16" s="22" t="s">
        <v>54</v>
      </c>
      <c r="J16" s="20" t="s">
        <v>54</v>
      </c>
      <c r="K16" s="20" t="s">
        <v>54</v>
      </c>
      <c r="L16" s="21" t="s">
        <v>55</v>
      </c>
      <c r="M16" s="8"/>
    </row>
    <row r="17" spans="1:13" ht="17.25" x14ac:dyDescent="0.3">
      <c r="A17" s="9">
        <v>8</v>
      </c>
      <c r="B17" s="13" t="s">
        <v>198</v>
      </c>
      <c r="C17" s="37" t="s">
        <v>199</v>
      </c>
      <c r="D17" s="18" t="s">
        <v>200</v>
      </c>
      <c r="E17" s="18" t="s">
        <v>201</v>
      </c>
      <c r="F17" s="19" t="s">
        <v>64</v>
      </c>
      <c r="G17" s="38">
        <v>3</v>
      </c>
      <c r="H17" s="20" t="s">
        <v>178</v>
      </c>
      <c r="I17" s="22" t="s">
        <v>178</v>
      </c>
      <c r="J17" s="20" t="s">
        <v>54</v>
      </c>
      <c r="K17" s="20" t="s">
        <v>54</v>
      </c>
      <c r="L17" s="21" t="s">
        <v>55</v>
      </c>
      <c r="M17" s="8"/>
    </row>
    <row r="19" spans="1:13" ht="26.1" customHeight="1" x14ac:dyDescent="0.3">
      <c r="A19" s="53" t="s">
        <v>172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</row>
    <row r="20" spans="1:13" ht="30" customHeight="1" x14ac:dyDescent="0.3">
      <c r="A20" s="17" t="s">
        <v>23</v>
      </c>
      <c r="B20" s="17" t="s">
        <v>47</v>
      </c>
      <c r="C20" s="17" t="s">
        <v>48</v>
      </c>
      <c r="D20" s="17" t="s">
        <v>49</v>
      </c>
      <c r="E20" s="17" t="s">
        <v>50</v>
      </c>
      <c r="F20" s="17" t="s">
        <v>33</v>
      </c>
      <c r="G20" s="17" t="s">
        <v>51</v>
      </c>
      <c r="H20" s="17" t="s">
        <v>167</v>
      </c>
      <c r="I20" s="17" t="s">
        <v>168</v>
      </c>
      <c r="J20" s="17" t="s">
        <v>169</v>
      </c>
      <c r="K20" s="17" t="s">
        <v>170</v>
      </c>
      <c r="L20" s="17" t="s">
        <v>52</v>
      </c>
      <c r="M20" s="17" t="s">
        <v>9</v>
      </c>
    </row>
    <row r="21" spans="1:13" ht="17.25" x14ac:dyDescent="0.3">
      <c r="A21" s="9">
        <v>9</v>
      </c>
      <c r="B21" s="12" t="s">
        <v>202</v>
      </c>
      <c r="C21" s="37" t="s">
        <v>203</v>
      </c>
      <c r="D21" s="18" t="s">
        <v>204</v>
      </c>
      <c r="E21" s="18" t="s">
        <v>205</v>
      </c>
      <c r="F21" s="19" t="s">
        <v>64</v>
      </c>
      <c r="G21" s="38">
        <v>2</v>
      </c>
      <c r="H21" s="22" t="s">
        <v>54</v>
      </c>
      <c r="I21" s="20" t="s">
        <v>178</v>
      </c>
      <c r="J21" s="20" t="s">
        <v>54</v>
      </c>
      <c r="K21" s="20" t="s">
        <v>54</v>
      </c>
      <c r="L21" s="21" t="s">
        <v>55</v>
      </c>
      <c r="M21" s="8"/>
    </row>
    <row r="22" spans="1:13" ht="17.25" x14ac:dyDescent="0.3">
      <c r="A22" s="9">
        <v>10</v>
      </c>
      <c r="B22" s="39" t="s">
        <v>206</v>
      </c>
      <c r="C22" s="37" t="s">
        <v>207</v>
      </c>
      <c r="D22" s="18" t="s">
        <v>208</v>
      </c>
      <c r="E22" s="18" t="s">
        <v>209</v>
      </c>
      <c r="F22" s="19" t="s">
        <v>64</v>
      </c>
      <c r="G22" s="38">
        <v>3</v>
      </c>
      <c r="H22" s="22" t="s">
        <v>54</v>
      </c>
      <c r="I22" s="20" t="s">
        <v>178</v>
      </c>
      <c r="J22" s="20" t="s">
        <v>178</v>
      </c>
      <c r="K22" s="20" t="s">
        <v>54</v>
      </c>
      <c r="L22" s="21" t="s">
        <v>55</v>
      </c>
      <c r="M22" s="8"/>
    </row>
    <row r="23" spans="1:13" ht="17.25" x14ac:dyDescent="0.3">
      <c r="A23" s="9">
        <v>11</v>
      </c>
      <c r="B23" s="13" t="s">
        <v>202</v>
      </c>
      <c r="C23" s="37" t="s">
        <v>210</v>
      </c>
      <c r="D23" s="18" t="s">
        <v>211</v>
      </c>
      <c r="E23" s="18" t="s">
        <v>212</v>
      </c>
      <c r="F23" s="19" t="s">
        <v>64</v>
      </c>
      <c r="G23" s="38">
        <v>2</v>
      </c>
      <c r="H23" s="22" t="s">
        <v>54</v>
      </c>
      <c r="I23" s="20" t="s">
        <v>54</v>
      </c>
      <c r="J23" s="20" t="s">
        <v>178</v>
      </c>
      <c r="K23" s="20" t="s">
        <v>54</v>
      </c>
      <c r="L23" s="21" t="s">
        <v>55</v>
      </c>
      <c r="M23" s="8"/>
    </row>
    <row r="24" spans="1:13" ht="17.25" x14ac:dyDescent="0.3">
      <c r="A24" s="9">
        <v>12</v>
      </c>
      <c r="B24" s="13" t="s">
        <v>56</v>
      </c>
      <c r="C24" s="37" t="s">
        <v>213</v>
      </c>
      <c r="D24" s="18" t="s">
        <v>214</v>
      </c>
      <c r="E24" s="18" t="s">
        <v>215</v>
      </c>
      <c r="F24" s="19" t="s">
        <v>64</v>
      </c>
      <c r="G24" s="38">
        <v>3</v>
      </c>
      <c r="H24" s="22" t="s">
        <v>54</v>
      </c>
      <c r="I24" s="20" t="s">
        <v>54</v>
      </c>
      <c r="J24" s="20" t="s">
        <v>178</v>
      </c>
      <c r="K24" s="20" t="s">
        <v>54</v>
      </c>
      <c r="L24" s="21" t="s">
        <v>55</v>
      </c>
      <c r="M24" s="8"/>
    </row>
    <row r="25" spans="1:13" ht="17.25" x14ac:dyDescent="0.3">
      <c r="A25" s="9">
        <v>13</v>
      </c>
      <c r="B25" s="40" t="s">
        <v>56</v>
      </c>
      <c r="C25" s="37" t="s">
        <v>216</v>
      </c>
      <c r="D25" s="18" t="s">
        <v>217</v>
      </c>
      <c r="E25" s="18" t="s">
        <v>218</v>
      </c>
      <c r="F25" s="19" t="s">
        <v>64</v>
      </c>
      <c r="G25" s="38">
        <v>2</v>
      </c>
      <c r="H25" s="22" t="s">
        <v>54</v>
      </c>
      <c r="I25" s="20" t="s">
        <v>54</v>
      </c>
      <c r="J25" s="20" t="s">
        <v>178</v>
      </c>
      <c r="K25" s="20" t="s">
        <v>54</v>
      </c>
      <c r="L25" s="21" t="s">
        <v>55</v>
      </c>
      <c r="M25" s="8"/>
    </row>
    <row r="26" spans="1:13" ht="17.25" x14ac:dyDescent="0.3">
      <c r="A26" s="9">
        <v>14</v>
      </c>
      <c r="B26" s="40" t="s">
        <v>219</v>
      </c>
      <c r="C26" s="37" t="s">
        <v>220</v>
      </c>
      <c r="D26" s="18" t="s">
        <v>221</v>
      </c>
      <c r="E26" s="18" t="s">
        <v>222</v>
      </c>
      <c r="F26" s="19" t="s">
        <v>64</v>
      </c>
      <c r="G26" s="38">
        <v>3</v>
      </c>
      <c r="H26" s="22" t="s">
        <v>54</v>
      </c>
      <c r="I26" s="20" t="s">
        <v>54</v>
      </c>
      <c r="J26" s="20" t="s">
        <v>178</v>
      </c>
      <c r="K26" s="20" t="s">
        <v>54</v>
      </c>
      <c r="L26" s="21" t="s">
        <v>55</v>
      </c>
      <c r="M26" s="8"/>
    </row>
    <row r="27" spans="1:13" ht="17.25" x14ac:dyDescent="0.3">
      <c r="A27" s="9">
        <v>15</v>
      </c>
      <c r="B27" s="40" t="s">
        <v>219</v>
      </c>
      <c r="C27" s="37" t="s">
        <v>223</v>
      </c>
      <c r="D27" s="18" t="s">
        <v>224</v>
      </c>
      <c r="E27" s="18" t="s">
        <v>225</v>
      </c>
      <c r="F27" s="19" t="s">
        <v>64</v>
      </c>
      <c r="G27" s="38">
        <v>3</v>
      </c>
      <c r="H27" s="22" t="s">
        <v>54</v>
      </c>
      <c r="I27" s="20" t="s">
        <v>178</v>
      </c>
      <c r="J27" s="20" t="s">
        <v>54</v>
      </c>
      <c r="K27" s="20" t="s">
        <v>54</v>
      </c>
      <c r="L27" s="21" t="s">
        <v>55</v>
      </c>
      <c r="M27" s="8"/>
    </row>
    <row r="28" spans="1:13" ht="24" x14ac:dyDescent="0.3">
      <c r="A28" s="9">
        <v>16</v>
      </c>
      <c r="B28" s="13" t="s">
        <v>226</v>
      </c>
      <c r="C28" s="37" t="s">
        <v>227</v>
      </c>
      <c r="D28" s="18" t="s">
        <v>228</v>
      </c>
      <c r="E28" s="18" t="s">
        <v>229</v>
      </c>
      <c r="F28" s="19" t="s">
        <v>95</v>
      </c>
      <c r="G28" s="38">
        <v>3</v>
      </c>
      <c r="H28" s="22" t="s">
        <v>54</v>
      </c>
      <c r="I28" s="20" t="s">
        <v>54</v>
      </c>
      <c r="J28" s="20" t="s">
        <v>54</v>
      </c>
      <c r="K28" s="20" t="s">
        <v>178</v>
      </c>
      <c r="L28" s="21" t="s">
        <v>55</v>
      </c>
      <c r="M28" s="8"/>
    </row>
    <row r="29" spans="1:13" ht="17.25" x14ac:dyDescent="0.3">
      <c r="A29" s="9">
        <v>17</v>
      </c>
      <c r="B29" s="13" t="s">
        <v>226</v>
      </c>
      <c r="C29" s="37" t="s">
        <v>230</v>
      </c>
      <c r="D29" s="18" t="s">
        <v>231</v>
      </c>
      <c r="E29" s="18" t="s">
        <v>232</v>
      </c>
      <c r="F29" s="19" t="s">
        <v>64</v>
      </c>
      <c r="G29" s="38">
        <v>3</v>
      </c>
      <c r="H29" s="22" t="s">
        <v>54</v>
      </c>
      <c r="I29" s="20" t="s">
        <v>54</v>
      </c>
      <c r="J29" s="20" t="s">
        <v>54</v>
      </c>
      <c r="K29" s="20" t="s">
        <v>178</v>
      </c>
      <c r="L29" s="21" t="s">
        <v>55</v>
      </c>
      <c r="M29" s="8"/>
    </row>
    <row r="30" spans="1:13" ht="17.25" x14ac:dyDescent="0.3">
      <c r="A30" s="9">
        <v>18</v>
      </c>
      <c r="B30" s="39" t="s">
        <v>226</v>
      </c>
      <c r="C30" s="37" t="s">
        <v>233</v>
      </c>
      <c r="D30" s="18" t="s">
        <v>234</v>
      </c>
      <c r="E30" s="18" t="s">
        <v>235</v>
      </c>
      <c r="F30" s="19" t="s">
        <v>64</v>
      </c>
      <c r="G30" s="38">
        <v>3</v>
      </c>
      <c r="H30" s="22" t="s">
        <v>54</v>
      </c>
      <c r="I30" s="20" t="s">
        <v>54</v>
      </c>
      <c r="J30" s="20" t="s">
        <v>178</v>
      </c>
      <c r="K30" s="20" t="s">
        <v>54</v>
      </c>
      <c r="L30" s="21" t="s">
        <v>55</v>
      </c>
      <c r="M30" s="8"/>
    </row>
    <row r="32" spans="1:13" ht="26.1" customHeight="1" x14ac:dyDescent="0.3">
      <c r="A32" s="53" t="s">
        <v>173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</row>
    <row r="33" spans="1:13" ht="30" customHeight="1" x14ac:dyDescent="0.3">
      <c r="A33" s="17" t="s">
        <v>23</v>
      </c>
      <c r="B33" s="17" t="s">
        <v>47</v>
      </c>
      <c r="C33" s="17" t="s">
        <v>48</v>
      </c>
      <c r="D33" s="17" t="s">
        <v>49</v>
      </c>
      <c r="E33" s="17" t="s">
        <v>50</v>
      </c>
      <c r="F33" s="17" t="s">
        <v>33</v>
      </c>
      <c r="G33" s="17" t="s">
        <v>51</v>
      </c>
      <c r="H33" s="17" t="s">
        <v>167</v>
      </c>
      <c r="I33" s="17" t="s">
        <v>168</v>
      </c>
      <c r="J33" s="17" t="s">
        <v>169</v>
      </c>
      <c r="K33" s="17" t="s">
        <v>170</v>
      </c>
      <c r="L33" s="17" t="s">
        <v>52</v>
      </c>
      <c r="M33" s="17" t="s">
        <v>9</v>
      </c>
    </row>
    <row r="34" spans="1:13" ht="17.25" x14ac:dyDescent="0.3">
      <c r="A34" s="9">
        <v>19</v>
      </c>
      <c r="B34" s="12" t="s">
        <v>236</v>
      </c>
      <c r="C34" s="37" t="s">
        <v>237</v>
      </c>
      <c r="D34" s="18" t="s">
        <v>238</v>
      </c>
      <c r="E34" s="18" t="s">
        <v>239</v>
      </c>
      <c r="F34" s="19" t="s">
        <v>64</v>
      </c>
      <c r="G34" s="38">
        <v>2</v>
      </c>
      <c r="H34" s="20" t="s">
        <v>54</v>
      </c>
      <c r="I34" s="20" t="s">
        <v>54</v>
      </c>
      <c r="J34" s="22" t="s">
        <v>54</v>
      </c>
      <c r="K34" s="20" t="s">
        <v>178</v>
      </c>
      <c r="L34" s="21" t="s">
        <v>55</v>
      </c>
      <c r="M34" s="8"/>
    </row>
    <row r="35" spans="1:13" ht="24" x14ac:dyDescent="0.3">
      <c r="A35" s="9">
        <v>20</v>
      </c>
      <c r="B35" s="13" t="s">
        <v>240</v>
      </c>
      <c r="C35" s="37" t="s">
        <v>241</v>
      </c>
      <c r="D35" s="18" t="s">
        <v>242</v>
      </c>
      <c r="E35" s="18" t="s">
        <v>243</v>
      </c>
      <c r="F35" s="19" t="s">
        <v>64</v>
      </c>
      <c r="G35" s="38">
        <v>2</v>
      </c>
      <c r="H35" s="20" t="s">
        <v>54</v>
      </c>
      <c r="I35" s="20" t="s">
        <v>54</v>
      </c>
      <c r="J35" s="22" t="s">
        <v>54</v>
      </c>
      <c r="K35" s="20" t="s">
        <v>178</v>
      </c>
      <c r="L35" s="21" t="s">
        <v>55</v>
      </c>
      <c r="M35" s="8"/>
    </row>
    <row r="36" spans="1:13" ht="17.25" x14ac:dyDescent="0.3">
      <c r="A36" s="9">
        <v>21</v>
      </c>
      <c r="B36" s="12" t="s">
        <v>219</v>
      </c>
      <c r="C36" s="37" t="s">
        <v>244</v>
      </c>
      <c r="D36" s="18" t="s">
        <v>245</v>
      </c>
      <c r="E36" s="18" t="s">
        <v>246</v>
      </c>
      <c r="F36" s="19" t="s">
        <v>64</v>
      </c>
      <c r="G36" s="38">
        <v>2</v>
      </c>
      <c r="H36" s="20" t="s">
        <v>54</v>
      </c>
      <c r="I36" s="20" t="s">
        <v>54</v>
      </c>
      <c r="J36" s="20" t="s">
        <v>54</v>
      </c>
      <c r="K36" s="22" t="s">
        <v>178</v>
      </c>
      <c r="L36" s="21" t="s">
        <v>55</v>
      </c>
      <c r="M36" s="8"/>
    </row>
    <row r="37" spans="1:13" ht="17.25" x14ac:dyDescent="0.3">
      <c r="A37" s="9">
        <v>22</v>
      </c>
      <c r="B37" s="13" t="s">
        <v>247</v>
      </c>
      <c r="C37" s="37" t="s">
        <v>248</v>
      </c>
      <c r="D37" s="18" t="s">
        <v>249</v>
      </c>
      <c r="E37" s="18" t="s">
        <v>250</v>
      </c>
      <c r="F37" s="19" t="s">
        <v>64</v>
      </c>
      <c r="G37" s="38">
        <v>2</v>
      </c>
      <c r="H37" s="20" t="s">
        <v>54</v>
      </c>
      <c r="I37" s="20" t="s">
        <v>54</v>
      </c>
      <c r="J37" s="20" t="s">
        <v>54</v>
      </c>
      <c r="K37" s="22" t="s">
        <v>178</v>
      </c>
      <c r="L37" s="21" t="s">
        <v>55</v>
      </c>
      <c r="M37" s="8"/>
    </row>
    <row r="39" spans="1:13" ht="26.1" customHeight="1" x14ac:dyDescent="0.3">
      <c r="A39" s="53" t="s">
        <v>174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</row>
    <row r="40" spans="1:13" ht="30" customHeight="1" x14ac:dyDescent="0.3">
      <c r="A40" s="17" t="s">
        <v>23</v>
      </c>
      <c r="B40" s="17" t="s">
        <v>47</v>
      </c>
      <c r="C40" s="17" t="s">
        <v>48</v>
      </c>
      <c r="D40" s="17" t="s">
        <v>49</v>
      </c>
      <c r="E40" s="17" t="s">
        <v>50</v>
      </c>
      <c r="F40" s="17" t="s">
        <v>33</v>
      </c>
      <c r="G40" s="17" t="s">
        <v>51</v>
      </c>
      <c r="H40" s="17" t="s">
        <v>167</v>
      </c>
      <c r="I40" s="17" t="s">
        <v>168</v>
      </c>
      <c r="J40" s="17" t="s">
        <v>169</v>
      </c>
      <c r="K40" s="17" t="s">
        <v>170</v>
      </c>
      <c r="L40" s="17" t="s">
        <v>52</v>
      </c>
      <c r="M40" s="17" t="s">
        <v>9</v>
      </c>
    </row>
    <row r="41" spans="1:13" ht="17.25" x14ac:dyDescent="0.3">
      <c r="A41" s="9">
        <v>23</v>
      </c>
      <c r="B41" s="41" t="s">
        <v>57</v>
      </c>
      <c r="C41" s="37" t="s">
        <v>251</v>
      </c>
      <c r="D41" s="18" t="s">
        <v>252</v>
      </c>
      <c r="E41" s="18" t="s">
        <v>253</v>
      </c>
      <c r="F41" s="19" t="s">
        <v>64</v>
      </c>
      <c r="G41" s="38">
        <v>2</v>
      </c>
      <c r="H41" s="22" t="s">
        <v>54</v>
      </c>
      <c r="I41" s="22" t="s">
        <v>54</v>
      </c>
      <c r="J41" s="22" t="s">
        <v>178</v>
      </c>
      <c r="K41" s="22" t="s">
        <v>54</v>
      </c>
      <c r="L41" s="21" t="s">
        <v>55</v>
      </c>
      <c r="M41" s="8"/>
    </row>
    <row r="42" spans="1:13" ht="17.25" x14ac:dyDescent="0.3">
      <c r="A42" s="9">
        <v>24</v>
      </c>
      <c r="B42" s="41" t="s">
        <v>58</v>
      </c>
      <c r="C42" s="37" t="s">
        <v>254</v>
      </c>
      <c r="D42" s="18" t="s">
        <v>255</v>
      </c>
      <c r="E42" s="18" t="s">
        <v>256</v>
      </c>
      <c r="F42" s="19" t="s">
        <v>64</v>
      </c>
      <c r="G42" s="38">
        <v>2</v>
      </c>
      <c r="H42" s="22" t="s">
        <v>178</v>
      </c>
      <c r="I42" s="22" t="s">
        <v>178</v>
      </c>
      <c r="J42" s="22" t="s">
        <v>54</v>
      </c>
      <c r="K42" s="22" t="s">
        <v>54</v>
      </c>
      <c r="L42" s="21" t="s">
        <v>55</v>
      </c>
      <c r="M42" s="8"/>
    </row>
    <row r="43" spans="1:13" ht="17.25" x14ac:dyDescent="0.3">
      <c r="A43" s="9">
        <v>25</v>
      </c>
      <c r="B43" s="41" t="s">
        <v>257</v>
      </c>
      <c r="C43" s="37" t="s">
        <v>258</v>
      </c>
      <c r="D43" s="18" t="s">
        <v>259</v>
      </c>
      <c r="E43" s="18" t="s">
        <v>260</v>
      </c>
      <c r="F43" s="19" t="s">
        <v>64</v>
      </c>
      <c r="G43" s="38">
        <v>2</v>
      </c>
      <c r="H43" s="22" t="s">
        <v>54</v>
      </c>
      <c r="I43" s="22" t="s">
        <v>54</v>
      </c>
      <c r="J43" s="22" t="s">
        <v>54</v>
      </c>
      <c r="K43" s="22" t="s">
        <v>178</v>
      </c>
      <c r="L43" s="21" t="s">
        <v>55</v>
      </c>
      <c r="M43" s="8"/>
    </row>
    <row r="44" spans="1:13" ht="24" x14ac:dyDescent="0.3">
      <c r="A44" s="9">
        <v>26</v>
      </c>
      <c r="B44" s="12" t="s">
        <v>261</v>
      </c>
      <c r="C44" s="37" t="s">
        <v>262</v>
      </c>
      <c r="D44" s="18" t="s">
        <v>263</v>
      </c>
      <c r="E44" s="18" t="s">
        <v>264</v>
      </c>
      <c r="F44" s="19" t="s">
        <v>64</v>
      </c>
      <c r="G44" s="38">
        <v>2</v>
      </c>
      <c r="H44" s="22" t="s">
        <v>54</v>
      </c>
      <c r="I44" s="22" t="s">
        <v>54</v>
      </c>
      <c r="J44" s="22" t="s">
        <v>54</v>
      </c>
      <c r="K44" s="22" t="s">
        <v>178</v>
      </c>
      <c r="L44" s="21" t="s">
        <v>55</v>
      </c>
      <c r="M44" s="8"/>
    </row>
  </sheetData>
  <mergeCells count="7">
    <mergeCell ref="A39:M39"/>
    <mergeCell ref="A1:M1"/>
    <mergeCell ref="A2:M2"/>
    <mergeCell ref="A5:M5"/>
    <mergeCell ref="A19:M19"/>
    <mergeCell ref="A13:M13"/>
    <mergeCell ref="A32:M32"/>
  </mergeCells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2e25f1-f1d4-4b57-be84-1f5ad188becc" xsi:nil="true"/>
    <lcf76f155ced4ddcb4097134ff3c332f xmlns="355e9163-e205-4f55-8724-e062aa2d762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9ABE2E9073F4DBEFD3A0E4E804736" ma:contentTypeVersion="15" ma:contentTypeDescription="Create a new document." ma:contentTypeScope="" ma:versionID="edec457f82864c4e246154363225a603">
  <xsd:schema xmlns:xsd="http://www.w3.org/2001/XMLSchema" xmlns:xs="http://www.w3.org/2001/XMLSchema" xmlns:p="http://schemas.microsoft.com/office/2006/metadata/properties" xmlns:ns2="355e9163-e205-4f55-8724-e062aa2d762e" xmlns:ns3="b82e25f1-f1d4-4b57-be84-1f5ad188becc" targetNamespace="http://schemas.microsoft.com/office/2006/metadata/properties" ma:root="true" ma:fieldsID="f1285c64fff4aac9070aebff29feb283" ns2:_="" ns3:_="">
    <xsd:import namespace="355e9163-e205-4f55-8724-e062aa2d762e"/>
    <xsd:import namespace="b82e25f1-f1d4-4b57-be84-1f5ad188be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5e9163-e205-4f55-8724-e062aa2d76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f2f8e18-fefb-41ea-b0db-811a3a7d8f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e25f1-f1d4-4b57-be84-1f5ad188bec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1401ad1-5c0b-4d77-a325-ccf9a4e0c0df}" ma:internalName="TaxCatchAll" ma:showField="CatchAllData" ma:web="b82e25f1-f1d4-4b57-be84-1f5ad188be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26E031-E942-4D0C-AAC9-84754F01B14A}">
  <ds:schemaRefs>
    <ds:schemaRef ds:uri="http://schemas.microsoft.com/office/2006/metadata/properties"/>
    <ds:schemaRef ds:uri="http://schemas.microsoft.com/office/infopath/2007/PartnerControls"/>
    <ds:schemaRef ds:uri="b82e25f1-f1d4-4b57-be84-1f5ad188becc"/>
    <ds:schemaRef ds:uri="355e9163-e205-4f55-8724-e062aa2d762e"/>
  </ds:schemaRefs>
</ds:datastoreItem>
</file>

<file path=customXml/itemProps2.xml><?xml version="1.0" encoding="utf-8"?>
<ds:datastoreItem xmlns:ds="http://schemas.openxmlformats.org/officeDocument/2006/customXml" ds:itemID="{06745242-4A2D-4FB1-A750-6AA781648A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5e9163-e205-4f55-8724-e062aa2d762e"/>
    <ds:schemaRef ds:uri="b82e25f1-f1d4-4b57-be84-1f5ad188be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2A9E1B-FD5D-47A9-B2AC-A16CA9307E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현황표</vt:lpstr>
      <vt:lpstr>Cut Over</vt:lpstr>
      <vt:lpstr>Smoke Test</vt:lpstr>
    </vt:vector>
  </TitlesOfParts>
  <Manager>Windmillsoft</Manager>
  <Company>Windmillsoft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Windmillsoft</dc:creator>
  <cp:keywords/>
  <dc:description/>
  <cp:lastModifiedBy>이학민(Edwin)</cp:lastModifiedBy>
  <cp:revision/>
  <dcterms:created xsi:type="dcterms:W3CDTF">2026-05-13T09:07:07Z</dcterms:created>
  <dcterms:modified xsi:type="dcterms:W3CDTF">2026-10-16T00:11:41Z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0x01010065F9ABE2E9073F4DBEFD3A0E4E804736</vt:lpwstr>
  </property>
  <property fmtid="{D5CDD505-2E9C-101B-9397-08002B2CF9AE}" pid="3" name="MediaServiceImageTags">
    <vt:lpwstr/>
  </property>
</Properties>
</file>