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roject\my-first-project\docs\산출물\"/>
    </mc:Choice>
  </mc:AlternateContent>
  <xr:revisionPtr revIDLastSave="0" documentId="13_ncr:1_{C5891407-B4DB-429F-AE1E-0A39B9F79D31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테스트 요약" sheetId="13" r:id="rId1"/>
    <sheet name="결과 요약" sheetId="6" r:id="rId2"/>
    <sheet name="프로세스별 결과" sheetId="7" r:id="rId3"/>
    <sheet name="통합테스트 시나리오" sheetId="3" r:id="rId4"/>
    <sheet name="LOV" sheetId="5" state="hidden" r:id="rId5"/>
    <sheet name="I-F 테스트 결과" sheetId="8" r:id="rId6"/>
    <sheet name="수정사항관리" sheetId="12" state="hidden" r:id="rId7"/>
  </sheets>
  <definedNames>
    <definedName name="_xlnm._FilterDatabase" localSheetId="6" hidden="1">수정사항관리!$A$1:$M$127</definedName>
    <definedName name="진행결과">LOV!$B$3:$B$6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3" i="6" l="1"/>
  <c r="C33" i="6"/>
  <c r="F32" i="6"/>
  <c r="C32" i="6"/>
  <c r="F31" i="6"/>
  <c r="C31" i="6"/>
  <c r="F30" i="6"/>
  <c r="C30" i="6"/>
  <c r="F25" i="6"/>
  <c r="E25" i="6"/>
  <c r="G25" i="6" s="1"/>
  <c r="D25" i="6"/>
  <c r="F24" i="6"/>
  <c r="E24" i="6"/>
  <c r="G24" i="6" s="1"/>
  <c r="D24" i="6"/>
  <c r="F23" i="6"/>
  <c r="E23" i="6"/>
  <c r="G23" i="6" s="1"/>
  <c r="D23" i="6"/>
  <c r="F22" i="6"/>
  <c r="E22" i="6"/>
  <c r="G22" i="6" s="1"/>
  <c r="D22" i="6"/>
  <c r="F21" i="6"/>
  <c r="E21" i="6"/>
  <c r="G21" i="6" s="1"/>
  <c r="D21" i="6"/>
  <c r="G8" i="8"/>
  <c r="F8" i="8"/>
  <c r="E8" i="8"/>
  <c r="G7" i="8"/>
  <c r="F7" i="8"/>
  <c r="H7" i="8" s="1"/>
  <c r="E7" i="8"/>
  <c r="G6" i="8"/>
  <c r="F6" i="8"/>
  <c r="H6" i="8" s="1"/>
  <c r="E6" i="8"/>
  <c r="G5" i="8"/>
  <c r="F5" i="8"/>
  <c r="E5" i="8"/>
  <c r="G4" i="8"/>
  <c r="F4" i="8"/>
  <c r="H4" i="8" s="1"/>
  <c r="E4" i="8"/>
  <c r="F26" i="7"/>
  <c r="E26" i="7"/>
  <c r="D26" i="7"/>
  <c r="F25" i="7"/>
  <c r="E25" i="7"/>
  <c r="D25" i="7"/>
  <c r="F24" i="7"/>
  <c r="E24" i="7"/>
  <c r="D24" i="7"/>
  <c r="F22" i="7"/>
  <c r="E22" i="7"/>
  <c r="D22" i="7"/>
  <c r="F21" i="7"/>
  <c r="E21" i="7"/>
  <c r="D21" i="7"/>
  <c r="F20" i="7"/>
  <c r="E20" i="7"/>
  <c r="D20" i="7"/>
  <c r="F18" i="7"/>
  <c r="E18" i="7"/>
  <c r="D18" i="7"/>
  <c r="F17" i="7"/>
  <c r="E17" i="7"/>
  <c r="D17" i="7"/>
  <c r="F16" i="7"/>
  <c r="E16" i="7"/>
  <c r="D16" i="7"/>
  <c r="F15" i="7"/>
  <c r="E15" i="7"/>
  <c r="D15" i="7"/>
  <c r="F14" i="7"/>
  <c r="E14" i="7"/>
  <c r="D14" i="7"/>
  <c r="F13" i="7"/>
  <c r="E13" i="7"/>
  <c r="D13" i="7"/>
  <c r="F11" i="7"/>
  <c r="E11" i="7"/>
  <c r="D11" i="7"/>
  <c r="F10" i="7"/>
  <c r="E10" i="7"/>
  <c r="D10" i="7"/>
  <c r="F9" i="7"/>
  <c r="E9" i="7"/>
  <c r="D9" i="7"/>
  <c r="F8" i="7"/>
  <c r="E8" i="7"/>
  <c r="D8" i="7"/>
  <c r="F7" i="7"/>
  <c r="E7" i="7"/>
  <c r="D7" i="7"/>
  <c r="F5" i="7"/>
  <c r="E5" i="7"/>
  <c r="D5" i="7"/>
  <c r="F4" i="7"/>
  <c r="E4" i="7"/>
  <c r="D4" i="7"/>
  <c r="G19" i="13"/>
  <c r="F19" i="13"/>
  <c r="E19" i="13"/>
  <c r="E11" i="13"/>
  <c r="D11" i="13"/>
  <c r="D19" i="13"/>
  <c r="E10" i="13"/>
  <c r="D10" i="13"/>
  <c r="G18" i="13"/>
  <c r="F18" i="13"/>
  <c r="E18" i="13"/>
  <c r="D18" i="13"/>
  <c r="G17" i="13"/>
  <c r="G16" i="13"/>
  <c r="F17" i="13"/>
  <c r="F16" i="13"/>
  <c r="E17" i="13"/>
  <c r="E16" i="13"/>
  <c r="D17" i="13"/>
  <c r="D16" i="13"/>
  <c r="E9" i="13"/>
  <c r="E8" i="13"/>
  <c r="D9" i="13"/>
  <c r="D8" i="13"/>
  <c r="E17" i="6"/>
  <c r="D17" i="6"/>
  <c r="C17" i="6"/>
  <c r="E16" i="6"/>
  <c r="D16" i="6"/>
  <c r="C16" i="6"/>
  <c r="E15" i="6"/>
  <c r="D15" i="6"/>
  <c r="C15" i="6"/>
  <c r="E14" i="6"/>
  <c r="D14" i="6"/>
  <c r="C14" i="6"/>
  <c r="E13" i="6"/>
  <c r="D13" i="6"/>
  <c r="C13" i="6"/>
  <c r="C9" i="6"/>
  <c r="B9" i="6"/>
  <c r="A9" i="6"/>
  <c r="H5" i="8" l="1"/>
  <c r="H8" i="8"/>
  <c r="H26" i="7"/>
  <c r="G26" i="7"/>
  <c r="H25" i="7"/>
  <c r="G25" i="7"/>
  <c r="H24" i="7"/>
  <c r="G24" i="7"/>
  <c r="H22" i="7"/>
  <c r="G22" i="7"/>
  <c r="H21" i="7"/>
  <c r="G21" i="7"/>
  <c r="H20" i="7"/>
  <c r="G20" i="7"/>
  <c r="H18" i="7"/>
  <c r="G18" i="7"/>
  <c r="H17" i="7"/>
  <c r="G17" i="7"/>
  <c r="H16" i="7"/>
  <c r="G16" i="7"/>
  <c r="H15" i="7"/>
  <c r="G15" i="7"/>
  <c r="H14" i="7"/>
  <c r="G14" i="7"/>
  <c r="H13" i="7"/>
  <c r="G13" i="7"/>
  <c r="H11" i="7"/>
  <c r="G11" i="7"/>
  <c r="H10" i="7"/>
  <c r="G10" i="7"/>
  <c r="H9" i="7"/>
  <c r="G9" i="7"/>
  <c r="H8" i="7"/>
  <c r="G8" i="7"/>
  <c r="H7" i="7"/>
  <c r="G7" i="7"/>
  <c r="H5" i="7"/>
  <c r="G5" i="7"/>
  <c r="H4" i="7"/>
  <c r="G4" i="7"/>
  <c r="E11" i="8"/>
  <c r="F14" i="6"/>
  <c r="G10" i="13"/>
  <c r="H18" i="13"/>
  <c r="F10" i="13"/>
  <c r="G8" i="13"/>
  <c r="G11" i="13"/>
  <c r="G9" i="13"/>
  <c r="D12" i="13"/>
  <c r="F11" i="13"/>
  <c r="D20" i="13"/>
  <c r="E20" i="13"/>
  <c r="H16" i="13"/>
  <c r="G20" i="13"/>
  <c r="H17" i="13"/>
  <c r="H19" i="13"/>
  <c r="E12" i="13"/>
  <c r="F8" i="13"/>
  <c r="F20" i="13"/>
  <c r="F9" i="13"/>
  <c r="F17" i="6"/>
  <c r="F15" i="6"/>
  <c r="F9" i="6"/>
  <c r="G11" i="8"/>
  <c r="G17" i="6"/>
  <c r="G13" i="6"/>
  <c r="F11" i="8"/>
  <c r="F16" i="6"/>
  <c r="G14" i="6"/>
  <c r="G16" i="6"/>
  <c r="D9" i="6"/>
  <c r="G15" i="6"/>
  <c r="E9" i="6"/>
  <c r="F13" i="6"/>
  <c r="H20" i="13" l="1"/>
  <c r="G12" i="13"/>
  <c r="F12" i="13"/>
  <c r="G9" i="6"/>
  <c r="H11" i="8"/>
</calcChain>
</file>

<file path=xl/sharedStrings.xml><?xml version="1.0" encoding="utf-8"?>
<sst xmlns="http://schemas.openxmlformats.org/spreadsheetml/2006/main" count="718" uniqueCount="426">
  <si>
    <t>프로젝트명</t>
  </si>
  <si>
    <t>작성일</t>
  </si>
  <si>
    <t>문서 버전</t>
  </si>
  <si>
    <t>【1】 테스트 구분별 전체 요약</t>
  </si>
  <si>
    <t>No</t>
  </si>
  <si>
    <t>테스트 구분</t>
  </si>
  <si>
    <t>총 건수</t>
  </si>
  <si>
    <t>완료</t>
  </si>
  <si>
    <t>미입력/진행 중</t>
  </si>
  <si>
    <t>완료율</t>
  </si>
  <si>
    <t>진행상황</t>
    <phoneticPr fontId="30" type="noConversion"/>
  </si>
  <si>
    <t>비고</t>
  </si>
  <si>
    <t>1</t>
  </si>
  <si>
    <r>
      <rPr>
        <u/>
        <sz val="10"/>
        <color theme="10"/>
        <rFont val="맑은 고딕"/>
        <family val="2"/>
        <charset val="129"/>
      </rPr>
      <t>단위</t>
    </r>
    <r>
      <rPr>
        <u/>
        <sz val="10"/>
        <color theme="10"/>
        <rFont val="Calibri"/>
        <family val="2"/>
      </rPr>
      <t xml:space="preserve"> </t>
    </r>
    <r>
      <rPr>
        <u/>
        <sz val="10"/>
        <color theme="10"/>
        <rFont val="맑은 고딕"/>
        <family val="2"/>
        <charset val="129"/>
      </rPr>
      <t>테스트</t>
    </r>
  </si>
  <si>
    <t>완료</t>
    <phoneticPr fontId="30" type="noConversion"/>
  </si>
  <si>
    <t>2</t>
  </si>
  <si>
    <r>
      <rPr>
        <u/>
        <sz val="10"/>
        <color theme="10"/>
        <rFont val="맑은 고딕"/>
        <family val="2"/>
        <charset val="129"/>
      </rPr>
      <t>통합</t>
    </r>
    <r>
      <rPr>
        <u/>
        <sz val="10"/>
        <color theme="10"/>
        <rFont val="Calibri"/>
        <family val="2"/>
      </rPr>
      <t xml:space="preserve"> </t>
    </r>
    <r>
      <rPr>
        <u/>
        <sz val="10"/>
        <color theme="10"/>
        <rFont val="맑은 고딕"/>
        <family val="2"/>
        <charset val="129"/>
      </rPr>
      <t>테스트</t>
    </r>
    <r>
      <rPr>
        <u/>
        <sz val="10"/>
        <color theme="10"/>
        <rFont val="Calibri"/>
        <family val="2"/>
      </rPr>
      <t xml:space="preserve"> (1</t>
    </r>
    <r>
      <rPr>
        <u/>
        <sz val="10"/>
        <color theme="10"/>
        <rFont val="맑은 고딕"/>
        <family val="2"/>
        <charset val="129"/>
      </rPr>
      <t>차</t>
    </r>
    <r>
      <rPr>
        <u/>
        <sz val="10"/>
        <color theme="10"/>
        <rFont val="Calibri"/>
        <family val="2"/>
      </rPr>
      <t>)</t>
    </r>
  </si>
  <si>
    <t>3</t>
  </si>
  <si>
    <r>
      <rPr>
        <u/>
        <sz val="10"/>
        <color theme="10"/>
        <rFont val="맑은 고딕"/>
        <family val="2"/>
        <charset val="129"/>
      </rPr>
      <t>통합</t>
    </r>
    <r>
      <rPr>
        <u/>
        <sz val="10"/>
        <color theme="10"/>
        <rFont val="Calibri"/>
        <family val="2"/>
      </rPr>
      <t xml:space="preserve"> </t>
    </r>
    <r>
      <rPr>
        <u/>
        <sz val="10"/>
        <color theme="10"/>
        <rFont val="맑은 고딕"/>
        <family val="2"/>
        <charset val="129"/>
      </rPr>
      <t>테스트</t>
    </r>
    <r>
      <rPr>
        <u/>
        <sz val="10"/>
        <color theme="10"/>
        <rFont val="Calibri"/>
        <family val="2"/>
      </rPr>
      <t xml:space="preserve"> (2</t>
    </r>
    <r>
      <rPr>
        <u/>
        <sz val="10"/>
        <color theme="10"/>
        <rFont val="맑은 고딕"/>
        <family val="2"/>
        <charset val="129"/>
      </rPr>
      <t>차</t>
    </r>
    <r>
      <rPr>
        <u/>
        <sz val="10"/>
        <color theme="10"/>
        <rFont val="Calibri"/>
        <family val="2"/>
      </rPr>
      <t>)</t>
    </r>
  </si>
  <si>
    <t>Open전 Test</t>
    <phoneticPr fontId="30" type="noConversion"/>
  </si>
  <si>
    <t>합계</t>
  </si>
  <si>
    <t>【2】 결함 유형별 통계</t>
    <phoneticPr fontId="30" type="noConversion"/>
  </si>
  <si>
    <t>수정</t>
  </si>
  <si>
    <t>추가</t>
  </si>
  <si>
    <t>오류</t>
  </si>
  <si>
    <t>검토</t>
  </si>
  <si>
    <t>단위 테스트</t>
  </si>
  <si>
    <t>통합 테스트 (1차)</t>
  </si>
  <si>
    <t>통합 테스트 (2차)</t>
  </si>
  <si>
    <t>테스트 기간</t>
  </si>
  <si>
    <t>작성자</t>
  </si>
  <si>
    <t>검토자</t>
  </si>
  <si>
    <r>
      <rPr>
        <b/>
        <sz val="12"/>
        <color rgb="FFFFFFFF"/>
        <rFont val="DejaVu Sans"/>
        <family val="2"/>
      </rPr>
      <t>【</t>
    </r>
    <r>
      <rPr>
        <b/>
        <sz val="12"/>
        <color rgb="FFFFFFFF"/>
        <rFont val="맑은 고딕"/>
        <family val="2"/>
        <charset val="129"/>
      </rPr>
      <t>1</t>
    </r>
    <r>
      <rPr>
        <b/>
        <sz val="12"/>
        <color rgb="FFFFFFFF"/>
        <rFont val="DejaVu Sans"/>
        <family val="2"/>
      </rPr>
      <t>】 전체 테스트 통계</t>
    </r>
  </si>
  <si>
    <t>총 케이스</t>
  </si>
  <si>
    <t>Pass</t>
  </si>
  <si>
    <t>Fail</t>
  </si>
  <si>
    <t>미실행</t>
  </si>
  <si>
    <t>합격률</t>
  </si>
  <si>
    <t>진행률</t>
  </si>
  <si>
    <t>판정</t>
  </si>
  <si>
    <r>
      <rPr>
        <b/>
        <sz val="12"/>
        <color rgb="FFFFFFFF"/>
        <rFont val="DejaVu Sans"/>
        <family val="2"/>
      </rPr>
      <t>【</t>
    </r>
    <r>
      <rPr>
        <b/>
        <sz val="12"/>
        <color rgb="FFFFFFFF"/>
        <rFont val="맑은 고딕"/>
        <family val="2"/>
        <charset val="129"/>
      </rPr>
      <t>2</t>
    </r>
    <r>
      <rPr>
        <b/>
        <sz val="12"/>
        <color rgb="FFFFFFFF"/>
        <rFont val="DejaVu Sans"/>
        <family val="2"/>
      </rPr>
      <t>】 프로세스별 결과</t>
    </r>
  </si>
  <si>
    <t>Process</t>
  </si>
  <si>
    <t>범주</t>
  </si>
  <si>
    <t>P0</t>
  </si>
  <si>
    <t>P1</t>
  </si>
  <si>
    <t>P2</t>
  </si>
  <si>
    <t>P3</t>
  </si>
  <si>
    <t>P4</t>
  </si>
  <si>
    <r>
      <rPr>
        <b/>
        <sz val="12"/>
        <color rgb="FFFFFFFF"/>
        <rFont val="DejaVu Sans"/>
        <family val="2"/>
      </rPr>
      <t>【</t>
    </r>
    <r>
      <rPr>
        <b/>
        <sz val="12"/>
        <color rgb="FFFFFFFF"/>
        <rFont val="맑은 고딕"/>
        <family val="2"/>
        <charset val="129"/>
      </rPr>
      <t>3</t>
    </r>
    <r>
      <rPr>
        <b/>
        <sz val="12"/>
        <color rgb="FFFFFFFF"/>
        <rFont val="DejaVu Sans"/>
        <family val="2"/>
      </rPr>
      <t xml:space="preserve">】 </t>
    </r>
    <r>
      <rPr>
        <b/>
        <sz val="12"/>
        <color rgb="FFFFFFFF"/>
        <rFont val="맑은 고딕"/>
        <family val="2"/>
        <charset val="129"/>
      </rPr>
      <t xml:space="preserve">I/F </t>
    </r>
    <r>
      <rPr>
        <b/>
        <sz val="12"/>
        <color rgb="FFFFFFFF"/>
        <rFont val="DejaVu Sans"/>
        <family val="2"/>
      </rPr>
      <t xml:space="preserve">테스트 결과 </t>
    </r>
    <r>
      <rPr>
        <b/>
        <sz val="12"/>
        <color rgb="FFFFFFFF"/>
        <rFont val="맑은 고딕"/>
        <family val="2"/>
        <charset val="129"/>
      </rPr>
      <t>(</t>
    </r>
    <r>
      <rPr>
        <b/>
        <sz val="12"/>
        <color rgb="FFFFFFFF"/>
        <rFont val="DejaVu Sans"/>
        <family val="2"/>
      </rPr>
      <t>외부 시스템 연동</t>
    </r>
    <r>
      <rPr>
        <b/>
        <sz val="12"/>
        <color rgb="FFFFFFFF"/>
        <rFont val="맑은 고딕"/>
        <family val="2"/>
        <charset val="129"/>
      </rPr>
      <t>)</t>
    </r>
  </si>
  <si>
    <t>I/F #</t>
  </si>
  <si>
    <t>명칭</t>
  </si>
  <si>
    <t>방식</t>
  </si>
  <si>
    <r>
      <rPr>
        <b/>
        <sz val="12"/>
        <color rgb="FFFFFFFF"/>
        <rFont val="DejaVu Sans"/>
        <family val="2"/>
      </rPr>
      <t>【</t>
    </r>
    <r>
      <rPr>
        <b/>
        <sz val="12"/>
        <color rgb="FFFFFFFF"/>
        <rFont val="맑은 고딕"/>
        <family val="2"/>
        <charset val="129"/>
      </rPr>
      <t>4</t>
    </r>
    <r>
      <rPr>
        <b/>
        <sz val="12"/>
        <color rgb="FFFFFFFF"/>
        <rFont val="DejaVu Sans"/>
        <family val="2"/>
      </rPr>
      <t>】 결함</t>
    </r>
    <r>
      <rPr>
        <b/>
        <sz val="12"/>
        <color rgb="FFFFFFFF"/>
        <rFont val="맑은 고딕"/>
        <family val="2"/>
        <charset val="129"/>
      </rPr>
      <t xml:space="preserve">(Defect) </t>
    </r>
    <r>
      <rPr>
        <b/>
        <sz val="12"/>
        <color rgb="FFFFFFFF"/>
        <rFont val="DejaVu Sans"/>
        <family val="2"/>
      </rPr>
      <t>통계</t>
    </r>
  </si>
  <si>
    <t>구분</t>
  </si>
  <si>
    <t>내용</t>
  </si>
  <si>
    <t>건수</t>
  </si>
  <si>
    <r>
      <rPr>
        <i/>
        <sz val="9"/>
        <color rgb="FF1F3864"/>
        <rFont val="DejaVu Sans"/>
        <family val="2"/>
      </rPr>
      <t xml:space="preserve">※ 본 시트는 </t>
    </r>
    <r>
      <rPr>
        <i/>
        <sz val="9"/>
        <color rgb="FF1F3864"/>
        <rFont val="맑은 고딕"/>
        <family val="2"/>
        <charset val="129"/>
      </rPr>
      <t>[</t>
    </r>
    <r>
      <rPr>
        <i/>
        <sz val="9"/>
        <color rgb="FF1F3864"/>
        <rFont val="DejaVu Sans"/>
        <family val="2"/>
      </rPr>
      <t>통합테스트 시나리오</t>
    </r>
    <r>
      <rPr>
        <i/>
        <sz val="9"/>
        <color rgb="FF1F3864"/>
        <rFont val="맑은 고딕"/>
        <family val="2"/>
        <charset val="129"/>
      </rPr>
      <t xml:space="preserve">] </t>
    </r>
    <r>
      <rPr>
        <i/>
        <sz val="9"/>
        <color rgb="FF1F3864"/>
        <rFont val="DejaVu Sans"/>
        <family val="2"/>
      </rPr>
      <t xml:space="preserve">시트의 </t>
    </r>
    <r>
      <rPr>
        <i/>
        <sz val="9"/>
        <color rgb="FF1F3864"/>
        <rFont val="맑은 고딕"/>
        <family val="2"/>
        <charset val="129"/>
      </rPr>
      <t xml:space="preserve">Pass/Fail </t>
    </r>
    <r>
      <rPr>
        <i/>
        <sz val="9"/>
        <color rgb="FF1F3864"/>
        <rFont val="DejaVu Sans"/>
        <family val="2"/>
      </rPr>
      <t>입력에 따라 자동 갱신됩니다</t>
    </r>
    <r>
      <rPr>
        <i/>
        <sz val="9"/>
        <color rgb="FF1F3864"/>
        <rFont val="맑은 고딕"/>
        <family val="2"/>
        <charset val="129"/>
      </rPr>
      <t>. Pass/Fail</t>
    </r>
    <r>
      <rPr>
        <i/>
        <sz val="9"/>
        <color rgb="FF1F3864"/>
        <rFont val="DejaVu Sans"/>
        <family val="2"/>
      </rPr>
      <t xml:space="preserve">은 정확히 </t>
    </r>
    <r>
      <rPr>
        <i/>
        <sz val="9"/>
        <color rgb="FF1F3864"/>
        <rFont val="맑은 고딕"/>
        <family val="2"/>
        <charset val="129"/>
      </rPr>
      <t xml:space="preserve">"Pass" </t>
    </r>
    <r>
      <rPr>
        <i/>
        <sz val="9"/>
        <color rgb="FF1F3864"/>
        <rFont val="DejaVu Sans"/>
        <family val="2"/>
      </rPr>
      <t xml:space="preserve">또는 </t>
    </r>
    <r>
      <rPr>
        <i/>
        <sz val="9"/>
        <color rgb="FF1F3864"/>
        <rFont val="맑은 고딕"/>
        <family val="2"/>
        <charset val="129"/>
      </rPr>
      <t xml:space="preserve">"Fail" </t>
    </r>
    <r>
      <rPr>
        <i/>
        <sz val="9"/>
        <color rgb="FF1F3864"/>
        <rFont val="DejaVu Sans"/>
        <family val="2"/>
      </rPr>
      <t>영문으로 입력해 주세요</t>
    </r>
    <r>
      <rPr>
        <i/>
        <sz val="9"/>
        <color rgb="FF1F3864"/>
        <rFont val="맑은 고딕"/>
        <family val="2"/>
        <charset val="129"/>
      </rPr>
      <t>.</t>
    </r>
  </si>
  <si>
    <r>
      <rPr>
        <b/>
        <sz val="14"/>
        <color rgb="FFFFFFFF"/>
        <rFont val="DejaVu Sans"/>
        <family val="2"/>
      </rPr>
      <t xml:space="preserve">프로세스별 테스트 결과 </t>
    </r>
    <r>
      <rPr>
        <b/>
        <sz val="14"/>
        <color rgb="FFFFFFFF"/>
        <rFont val="맑은 고딕"/>
        <family val="2"/>
        <charset val="129"/>
      </rPr>
      <t>(</t>
    </r>
    <r>
      <rPr>
        <b/>
        <sz val="14"/>
        <color rgb="FFFFFFFF"/>
        <rFont val="DejaVu Sans"/>
        <family val="2"/>
      </rPr>
      <t>단계별 상세</t>
    </r>
    <r>
      <rPr>
        <b/>
        <sz val="14"/>
        <color rgb="FFFFFFFF"/>
        <rFont val="맑은 고딕"/>
        <family val="2"/>
        <charset val="129"/>
      </rPr>
      <t>)</t>
    </r>
  </si>
  <si>
    <r>
      <rPr>
        <i/>
        <sz val="9"/>
        <color rgb="FF1F3864"/>
        <rFont val="DejaVu Sans"/>
        <family val="2"/>
      </rPr>
      <t xml:space="preserve">※ 통합테스트 시나리오 시트의 </t>
    </r>
    <r>
      <rPr>
        <i/>
        <sz val="9"/>
        <color rgb="FF1F3864"/>
        <rFont val="맑은 고딕"/>
        <family val="2"/>
        <charset val="129"/>
      </rPr>
      <t xml:space="preserve">Process / </t>
    </r>
    <r>
      <rPr>
        <i/>
        <sz val="9"/>
        <color rgb="FF1F3864"/>
        <rFont val="DejaVu Sans"/>
        <family val="2"/>
      </rPr>
      <t xml:space="preserve">모듈명 </t>
    </r>
    <r>
      <rPr>
        <i/>
        <sz val="9"/>
        <color rgb="FF1F3864"/>
        <rFont val="맑은 고딕"/>
        <family val="2"/>
        <charset val="129"/>
      </rPr>
      <t xml:space="preserve">/ Pass/Fail </t>
    </r>
    <r>
      <rPr>
        <i/>
        <sz val="9"/>
        <color rgb="FF1F3864"/>
        <rFont val="DejaVu Sans"/>
        <family val="2"/>
      </rPr>
      <t>입력에 따라 자동 집계됩니다</t>
    </r>
    <r>
      <rPr>
        <i/>
        <sz val="9"/>
        <color rgb="FF1F3864"/>
        <rFont val="맑은 고딕"/>
        <family val="2"/>
        <charset val="129"/>
      </rPr>
      <t>.</t>
    </r>
  </si>
  <si>
    <r>
      <rPr>
        <b/>
        <sz val="10"/>
        <color rgb="FFFFFFFF"/>
        <rFont val="DejaVu Sans"/>
        <family val="2"/>
      </rPr>
      <t xml:space="preserve">단계 </t>
    </r>
    <r>
      <rPr>
        <b/>
        <sz val="10"/>
        <color rgb="FFFFFFFF"/>
        <rFont val="맑은 고딕"/>
        <family val="2"/>
        <charset val="129"/>
      </rPr>
      <t>(</t>
    </r>
    <r>
      <rPr>
        <b/>
        <sz val="10"/>
        <color rgb="FFFFFFFF"/>
        <rFont val="DejaVu Sans"/>
        <family val="2"/>
      </rPr>
      <t>모듈</t>
    </r>
    <r>
      <rPr>
        <b/>
        <sz val="10"/>
        <color rgb="FFFFFFFF"/>
        <rFont val="맑은 고딕"/>
        <family val="2"/>
        <charset val="129"/>
      </rPr>
      <t>)</t>
    </r>
  </si>
  <si>
    <t>대표 모듈명</t>
  </si>
  <si>
    <t>PROCESS 0</t>
  </si>
  <si>
    <t>PROCESS 1</t>
  </si>
  <si>
    <t>PROCESS 2</t>
  </si>
  <si>
    <t>PROCESS 3</t>
  </si>
  <si>
    <t>PROCESS 4</t>
  </si>
  <si>
    <t>통합 테스트 시나리오</t>
  </si>
  <si>
    <t>버전</t>
  </si>
  <si>
    <t>Category</t>
  </si>
  <si>
    <t>모듈명</t>
  </si>
  <si>
    <t>테스트 항목</t>
  </si>
  <si>
    <r>
      <rPr>
        <b/>
        <sz val="10"/>
        <color rgb="FFFFFFFF"/>
        <rFont val="DejaVu Sans"/>
        <family val="2"/>
      </rPr>
      <t xml:space="preserve">케이스 </t>
    </r>
    <r>
      <rPr>
        <b/>
        <sz val="10"/>
        <color rgb="FFFFFFFF"/>
        <rFont val="맑은 고딕"/>
        <family val="2"/>
        <charset val="1"/>
      </rPr>
      <t>ID</t>
    </r>
  </si>
  <si>
    <r>
      <rPr>
        <b/>
        <sz val="10"/>
        <color rgb="FFFFFFFF"/>
        <rFont val="DejaVu Sans"/>
        <family val="2"/>
      </rPr>
      <t xml:space="preserve">테스트 시나리오 </t>
    </r>
    <r>
      <rPr>
        <b/>
        <sz val="10"/>
        <color rgb="FFFFFFFF"/>
        <rFont val="맑은 고딕"/>
        <family val="2"/>
        <charset val="1"/>
      </rPr>
      <t>(</t>
    </r>
    <r>
      <rPr>
        <b/>
        <sz val="10"/>
        <color rgb="FFFFFFFF"/>
        <rFont val="DejaVu Sans"/>
        <family val="2"/>
      </rPr>
      <t>목적 및 확인 포인트</t>
    </r>
    <r>
      <rPr>
        <b/>
        <sz val="10"/>
        <color rgb="FFFFFFFF"/>
        <rFont val="맑은 고딕"/>
        <family val="2"/>
        <charset val="1"/>
      </rPr>
      <t>)</t>
    </r>
  </si>
  <si>
    <t>사전 조건</t>
  </si>
  <si>
    <r>
      <rPr>
        <b/>
        <sz val="10"/>
        <color rgb="FFFFFFFF"/>
        <rFont val="DejaVu Sans"/>
        <family val="2"/>
      </rPr>
      <t xml:space="preserve">입력 데이터 </t>
    </r>
    <r>
      <rPr>
        <b/>
        <sz val="10"/>
        <color rgb="FFFFFFFF"/>
        <rFont val="맑은 고딕"/>
        <family val="2"/>
        <charset val="129"/>
      </rPr>
      <t xml:space="preserve">/ </t>
    </r>
    <r>
      <rPr>
        <b/>
        <sz val="10"/>
        <color rgb="FFFFFFFF"/>
        <rFont val="DejaVu Sans"/>
        <family val="2"/>
      </rPr>
      <t>단계</t>
    </r>
  </si>
  <si>
    <t>기대 결과</t>
  </si>
  <si>
    <t>실제 결과</t>
    <phoneticPr fontId="30" type="noConversion"/>
  </si>
  <si>
    <t>Pass/Fail</t>
  </si>
  <si>
    <t>담당자</t>
  </si>
  <si>
    <t>비고</t>
    <phoneticPr fontId="30" type="noConversion"/>
  </si>
  <si>
    <t>I/F</t>
  </si>
  <si>
    <t>테스트 구분</t>
    <phoneticPr fontId="30" type="noConversion"/>
  </si>
  <si>
    <t>단위 테스트</t>
    <phoneticPr fontId="30" type="noConversion"/>
  </si>
  <si>
    <t>In Progress</t>
  </si>
  <si>
    <t>통합 테스트 (1차)</t>
    <phoneticPr fontId="30" type="noConversion"/>
  </si>
  <si>
    <t>통합 테스트 (2차)</t>
    <phoneticPr fontId="30" type="noConversion"/>
  </si>
  <si>
    <r>
      <t>Open</t>
    </r>
    <r>
      <rPr>
        <sz val="11"/>
        <color theme="1"/>
        <rFont val="Noto Sans KR"/>
        <family val="2"/>
        <charset val="129"/>
      </rPr>
      <t>전</t>
    </r>
    <r>
      <rPr>
        <sz val="11"/>
        <color theme="1"/>
        <rFont val="Calibri"/>
        <family val="2"/>
        <charset val="1"/>
      </rPr>
      <t xml:space="preserve"> Test</t>
    </r>
    <phoneticPr fontId="30" type="noConversion"/>
  </si>
  <si>
    <t>방향</t>
  </si>
  <si>
    <r>
      <rPr>
        <b/>
        <sz val="11"/>
        <color rgb="FF1F3864"/>
        <rFont val="DejaVu Sans"/>
        <family val="2"/>
      </rPr>
      <t xml:space="preserve">【범례 </t>
    </r>
    <r>
      <rPr>
        <b/>
        <sz val="11"/>
        <color rgb="FF1F3864"/>
        <rFont val="맑은 고딕"/>
        <family val="2"/>
        <charset val="129"/>
      </rPr>
      <t xml:space="preserve">/ </t>
    </r>
    <r>
      <rPr>
        <b/>
        <sz val="11"/>
        <color rgb="FF1F3864"/>
        <rFont val="DejaVu Sans"/>
        <family val="2"/>
      </rPr>
      <t>검증 기준】</t>
    </r>
  </si>
  <si>
    <t>테스트 수정 사항 관리</t>
    <phoneticPr fontId="30" type="noConversion"/>
  </si>
  <si>
    <t>구분</t>
    <phoneticPr fontId="30" type="noConversion"/>
  </si>
  <si>
    <t>No.</t>
  </si>
  <si>
    <t>메뉴 (발생 단계)</t>
    <phoneticPr fontId="30" type="noConversion"/>
  </si>
  <si>
    <t>상세 요청 내용</t>
  </si>
  <si>
    <t>결함 유형</t>
    <phoneticPr fontId="30" type="noConversion"/>
  </si>
  <si>
    <t>요청자</t>
  </si>
  <si>
    <t>요청일자</t>
  </si>
  <si>
    <t>담당자</t>
    <phoneticPr fontId="30" type="noConversion"/>
  </si>
  <si>
    <t>완료 예정일자</t>
    <phoneticPr fontId="30" type="noConversion"/>
  </si>
  <si>
    <t>처리완료일자</t>
  </si>
  <si>
    <t>상태</t>
    <phoneticPr fontId="30" type="noConversion"/>
  </si>
  <si>
    <t>수정</t>
    <phoneticPr fontId="30" type="noConversion"/>
  </si>
  <si>
    <t>오류</t>
    <phoneticPr fontId="30" type="noConversion"/>
  </si>
  <si>
    <t>보류</t>
    <phoneticPr fontId="30" type="noConversion"/>
  </si>
  <si>
    <t>한결공조 AS 관리 시스템</t>
    <phoneticPr fontId="30" type="noConversion"/>
  </si>
  <si>
    <t>v1.1</t>
    <phoneticPr fontId="30" type="noConversion"/>
  </si>
  <si>
    <t>Edwin</t>
  </si>
  <si>
    <t>PROCESS 0 · 단위 테스트 (재검증)</t>
  </si>
  <si>
    <t>전체 Apex 테스트</t>
  </si>
  <si>
    <t>RunLocalTests 재실행</t>
  </si>
  <si>
    <t>IT-UT-001</t>
  </si>
  <si>
    <t>배포 기준 전체 로컬 테스트를 실행해 모든 테스트 통과·커버리지 75% 이상인지 확인</t>
  </si>
  <si>
    <t>• 최신 소스 org 배포 완료</t>
  </si>
  <si>
    <t>• sf apex run test --test-level RunLocalTests --code-coverage</t>
  </si>
  <si>
    <t>• 전체 Pass
• org 커버리지 75% 이상</t>
  </si>
  <si>
    <t>2026-10-16: 실행 248건(메서드 224 + @TestSetup 24) 모두 Pass, org 커버리지 96%(실행 ID 707aj00001Ln2Cb)</t>
  </si>
  <si>
    <t>단위 테스트 결과(07) V1.1 참고</t>
  </si>
  <si>
    <t>PROCESS 1 · 전화 접수 · 조회 화면 (상담원 · 역할별 홈)</t>
  </si>
  <si>
    <t>가상 착신</t>
  </si>
  <si>
    <t>발신 번호로 고객 찾기 · 장비 확정</t>
  </si>
  <si>
    <t>IT-CTI-001</t>
  </si>
  <si>
    <t>상담원이 가상 착신에 발신 번호·IVR 증상·시리얼 뒤 4자리를 넣고 [전화 연결] → 사업장 현장 번호로 찾고 시리얼로 장비가 확정되는지 확인</t>
  </si>
  <si>
    <t>• 이서연(상담원) 로그인
• 평택 2창고 현장 번호 010-1111-2001</t>
  </si>
  <si>
    <t>• 발신 번호 010-1111-2001
• 증상 냉방 불가 · 시리얼 0001</t>
  </si>
  <si>
    <t>• 고객사 (주)한빛물류 · 사업장 평택 2창고 · 장비 HG25CH500-0001 자동 선택</t>
  </si>
  <si>
    <t>2026-10-15: 이서연이 같은 번호로 접수 00001966·00001967·00001973 저장(경로 전화, 발신 번호 저장 확인). 2026-10-18 이서연 화면 캡처로 자동 확정 재확인</t>
  </si>
  <si>
    <t>접수 작성 팝업</t>
  </si>
  <si>
    <t>접수 저장 → 센터 Queue 배정</t>
  </si>
  <si>
    <t>IT-CTI-002</t>
  </si>
  <si>
    <t>접수 저장 시 저장 전 Flow가 고객사·사업장·센터를 채우고 할당 규칙이 센터 Queue로 배정하는지 확인</t>
  </si>
  <si>
    <t>• IT-CTI-001 이어서</t>
  </si>
  <si>
    <t>• [접수 저장]</t>
  </si>
  <si>
    <t>• 소유자 = 경기남부·인천센터 접수 Queue</t>
  </si>
  <si>
    <t>2026-10-15: 00001966·00001967·00001973 소유자 = "경기남부·인천센터 접수"(조회 확인)</t>
  </si>
  <si>
    <t>종결 전 접수 경고(BR-11)</t>
  </si>
  <si>
    <t>IT-CTI-003</t>
  </si>
  <si>
    <t>고른 장비에 종결·취소가 아닌 접수가 있으면 경고와 [기존 접수 열기]가 보이고 저장은 막지 않는지 확인</t>
  </si>
  <si>
    <t>• 장비 HG25CH500-0001에 진행 중 접수 있음</t>
  </si>
  <si>
    <t>• 가상 착신으로 팝업 열기</t>
  </si>
  <si>
    <t>• "종결되지 않은 접수가 N건" 경고 + 상태·제목·접수일</t>
  </si>
  <si>
    <t>2026-10-15: 경고 표시 확인(관리자 화면). 2026-10-18 이서연 화면: "이 장비에 종결되지 않은 접수가 2건 있습니다…" + [기존 접수 열기](화면 설계서 SC-01 5/5)</t>
  </si>
  <si>
    <t>고객사·사업장 카드</t>
  </si>
  <si>
    <t>IT-CTI-004</t>
  </si>
  <si>
    <t>오른쪽 카드에 고객사 거래 상태(미수 주의)·사업장 긴급 용도 배지가 표시되는지 확인</t>
  </si>
  <si>
    <t>• (주)한빛물류 거래 상태 미수 주의
• 평택 2창고 용도 냉동창고</t>
  </si>
  <si>
    <t>• 미수 주의 배지 · 긴급 용도 배지 · 장비 수 · 종결 전 접수 수</t>
  </si>
  <si>
    <t>2026-10-15 관리자 화면, 2026-10-18 이서연 화면: 미수 주의·긴급 용도 배지, 사업장 3·장비 5, 종결 전 접수 2 표시</t>
  </si>
  <si>
    <t>기사에게는 안내만</t>
  </si>
  <si>
    <t>IT-CTI-005</t>
  </si>
  <si>
    <t>클래스 접근이 없는 협력 기사가 가상 착신을 열면 입력 없이 안내만 보이는지 확인</t>
  </si>
  <si>
    <t>• 최민호(기사) 로그인</t>
  </si>
  <si>
    <t>• 유틸리티 바 "가상 착신"</t>
  </si>
  <si>
    <t>• "사용할 수 없음" 안내</t>
  </si>
  <si>
    <t>2026-10-16: 최민호 화면에서 입력 없이 안내만 표시 확인(Edwin)</t>
  </si>
  <si>
    <t>역할별 홈</t>
  </si>
  <si>
    <t>사용자별 시작 화면</t>
  </si>
  <si>
    <t>IT-HOME-001</t>
  </si>
  <si>
    <t>프로필별 홈이 역할에 맞는 안내·목록·차트로 열리는지 확인</t>
  </si>
  <si>
    <t>• 프로필 HG 콜센터 상담원·HG 센터장·HG 협력 기사, 관리자 = 앱 기본 홈</t>
  </si>
  <si>
    <t>• 이서연·김병철·최민호·관리자로 홈 탭 열기</t>
  </si>
  <si>
    <t>• 상담원: 장비 검색 안내·오늘 내가 받은 접수·긴급 접수·반복 고장 장비
• 센터장: 안내 → 배정 대기 → 재배정 필요 → 승인할 항목 → 종결 대기 → 센터 차트
• 기사: 내 출동·내 차량 재고
• 관리자: ERP 실패·확인 필요 + 운영 대시보드</t>
  </si>
  <si>
    <t>2026-10-16: 상담원·센터장·기사 홈 화면 확인(Edwin). 2026-10-18 네 사용자 화면 캡처(화면 설계서 HM-01~04), 센터장 홈 순서·빈 목록 표시 확인</t>
  </si>
  <si>
    <t>조회 화면</t>
  </si>
  <si>
    <t>장비·사업장·고객사 출동 요약 · 출동 이력</t>
  </si>
  <si>
    <t>IT-HOME-002</t>
  </si>
  <si>
    <t>장비·사업장·고객사 레코드 페이지에 누적 청구액·방문 출동 수 요약과 출동 이력(최신 5건 + 모두 보기)이 보이는지 확인</t>
  </si>
  <si>
    <t>• 이서연(상담원) 로그인
• (주)한빛물류 · 평택 2창고 · HG25CH500-0001</t>
  </si>
  <si>
    <t>• 장비·사업장·고객사 레코드 열기(고객사·사업장은 관련됨 탭)</t>
  </si>
  <si>
    <t>• "누적 청구액 ₩N · 방문 출동 N건 (도착·승인 대기·완료 기준)" + 출동 이력 5건</t>
  </si>
  <si>
    <t>2026-10-18 이서연 화면: 장비 ₩20,550,000 · 방문 9건, 사업장 평택 2창고 ₩22,185,000 · 방문 12건, 고객사 (주)한빛물류 ₩23,170,000 · 방문 14건, 각 출동 이력 5건 + [모두 보기]</t>
  </si>
  <si>
    <t>집계 Apex 테스트 WorkOrderChargeServiceTest</t>
  </si>
  <si>
    <t>PROCESS 2 · 배정 · 출동 · 재고 (센터장 · 기사)</t>
  </si>
  <si>
    <t>기사 배정</t>
  </si>
  <si>
    <t>센터장 [기사 배정]으로 출동 생성</t>
  </si>
  <si>
    <t>IT-WO-001</t>
  </si>
  <si>
    <t>센터장이 접수 [기사 배정]으로 우리 센터 기사를 골라 출동을 만들면 접수 값이 복사되고 접수가 처리 중이 되는지 확인</t>
  </si>
  <si>
    <t>• 김병철(센터장) 로그인
• 경기남부 접수(상태 접수)</t>
  </si>
  <si>
    <t>• 접수 → [기사 배정] → 기사 최민호·목적·방문 예정 일시</t>
  </si>
  <si>
    <t>• 출동 생성(소유자 최민호, 상태 배정, 회차), 접수 처리 중</t>
  </si>
  <si>
    <t>2026-10-16: 김병철이 [기사 배정]으로 출동 00000041·00000049 생성(소유자 최민호, 접수 처리 중). 00000041은 최민호 거절 후 정리</t>
  </si>
  <si>
    <t>출동 사용 부품</t>
  </si>
  <si>
    <t>차량 재고로 부품 사용 · 유무상 판정</t>
  </si>
  <si>
    <t>IT-WO-002</t>
  </si>
  <si>
    <t>기사가 출동 화면에서 자기 차량 재고를 골라 사용 부품을 저장하면 유·무상이 판정되고 ERP로 전송되는지 확인</t>
  </si>
  <si>
    <t>• 최민호(기사) 로그인 · 자기 차량 재고 있음</t>
  </si>
  <si>
    <t>• 부품 추가: 재고 선택 + 수량</t>
  </si>
  <si>
    <t>• 저장 · 자동 판정 · ERP 전송 상태 Synced</t>
  </si>
  <si>
    <t>최민호가 저장한 사용 부품 3건 모두 ERP 전송 완료(Synced) — org 조회. 2026-10-13 첫 시도는 외부 자격 증명 권한 결함으로 실패 → 수정 후 성공</t>
  </si>
  <si>
    <t>결함 이력: 수정사항관리</t>
  </si>
  <si>
    <t>IF-03</t>
  </si>
  <si>
    <t>차량 재고 초과 거부</t>
  </si>
  <si>
    <t>IT-WO-003</t>
  </si>
  <si>
    <t>한 사이클</t>
  </si>
  <si>
    <t>접수 → 배정 → 부품 → 완료 → 종결</t>
  </si>
  <si>
    <t>IT-WO-004</t>
  </si>
  <si>
    <t>상담원 접수부터 종결까지 세 사용자가 실제 화면으로 한 번에 처리되는지 확인</t>
  </si>
  <si>
    <t>• 이서연·김병철·최민호 로그인</t>
  </si>
  <si>
    <t>• 가상 착신 010-1111-2002 → 중복 경고 00001028 [기존 접수 열기] → 김병철 [기사 배정] → 최민호 수락·도착·부품 → 완료 → 종결</t>
  </si>
  <si>
    <t>• 새 접수 없이 기존 접수로 처리, 출동 생성·부품 ERP 전송·승인 불필요 안내, 종결 후 수정 잠김</t>
  </si>
  <si>
    <t>2026-10-16: 00001028 → 출동 00000049 → 냉매 R-404A 0.5kg(차량 14.5→14.0, ERP 완료) → 승인 불필요 안내(₩20,000 / 기준 ₩500,000) → 출동 완료 → 접수 완료 → 종결 → 수정 시 잠김 경고. 실습 중 결함 1건(출장비 빈칸) 수정</t>
  </si>
  <si>
    <t>접수 자동 완료</t>
  </si>
  <si>
    <t>접수 자동 완료 · 종결 대기 · BR-18</t>
  </si>
  <si>
    <t>IT-WO-005</t>
  </si>
  <si>
    <t>마지막 열린 출동이 완료되면 접수가 자동 완료되고 센터장 "종결 대기 접수"에 보이며, 열린 출동이 있으면 완료·종결할 수 없는지 확인</t>
  </si>
  <si>
    <t>• 처리 중 접수 + 출동 1건</t>
  </si>
  <si>
    <t>• 출동 완료 → 센터장 홈 확인</t>
  </si>
  <si>
    <t>• 접수 완료(열린 0·완료 1), 종결 대기 목록 표시, 열린 출동이 있으면 완료·종결 거부</t>
  </si>
  <si>
    <t>2026-10-18 시연 준비: 출동 00000064·00000065 완료 → 접수 00001996·00001997 자동 완료(열린 0·완료 1), 종결 대기 3건(조회). 리셋 검증: 종결 → 완료 복원. 열린 출동 거부는 Apex 테스트 CaseWorkOrderStatsServiceTest(상담원 runAs) Pass</t>
  </si>
  <si>
    <t>재고 공유</t>
  </si>
  <si>
    <t>다른 센터 창고 재고 비공개</t>
  </si>
  <si>
    <t>IT-WO-006</t>
  </si>
  <si>
    <t>경기남부 기사·센터장은 경기남부 창고 재고만 읽고 다른 센터(서울) 창고 재고는 못 보는지 확인</t>
  </si>
  <si>
    <t>• 검증용 서울 창고 위치·재고 1건(조회 후 삭제)
• 조건 기준 공유 규칙 HG_GyeonggiSouth_Warehouse_Stock_Tech</t>
  </si>
  <si>
    <t>• UserRecordAccess(HasReadAccess) × 김병철·최민호·이서연</t>
  </si>
  <si>
    <t>• 서울 창고 재고: 김병철·최민호 읽기 없음 / 경기남부 창고 재고 14건 읽기 유지</t>
  </si>
  <si>
    <t>2026-10-16: 규칙 교체 전 결함(서울 창고 재고 읽기) 발견 → 조건 기준 규칙으로 교체 후 서울 창고 재고 김병철·최민호 읽기 없음, 경기남부 창고 재고 14건 유지, 상담원 전체 읽기 유지</t>
  </si>
  <si>
    <t>결함 이력: 수정사항관리 · 재고 이동 공유 없음은 한계</t>
  </si>
  <si>
    <t>PROCESS 3 · 출동 승인 (기사 · 센터장)</t>
  </si>
  <si>
    <t>출동 승인 요청</t>
  </si>
  <si>
    <t>승인 불필요 출동 안내</t>
  </si>
  <si>
    <t>IT-APV-001</t>
  </si>
  <si>
    <t>예외 무상이 없고 청구 합계가 기준 이하인 출동에서 [승인 요청]을 누르면 안내만 나오는지 확인</t>
  </si>
  <si>
    <t>• 출동 00000038(500,000)·00000039(30,000)</t>
  </si>
  <si>
    <t>• 빠른 작업 [승인 요청]</t>
  </si>
  <si>
    <t>• "승인이 필요하지 않습니다" 안내</t>
  </si>
  <si>
    <t>2026-10-16: 최민호 화면에서 "승인이 필요하지 않습니다" 안내 확인(Edwin)</t>
  </si>
  <si>
    <t>기사 승인 요청 제출</t>
  </si>
  <si>
    <t>IT-APV-002</t>
  </si>
  <si>
    <t>기준 초과 출동에서 기사가 사유·고객 동의를 넣어 승인 요청 → 센터장에게 승인 요청이 가는지 확인</t>
  </si>
  <si>
    <t>• 최민호(기사) · Manager = 김병철
• 출동 00000037 청구 합계 1,200,000</t>
  </si>
  <si>
    <t>• 사유 "고객 과실" · 고객 동의 체크</t>
  </si>
  <si>
    <t>• 상태 승인 대기, 승인자 김병철</t>
  </si>
  <si>
    <t>2026-10-15 17:46: 최민호 제출(사유 "고객 과실", 고객 동의 저장), 승인자 김병철 — org 승인 기록. 출동의 [승인 요청] 빠른 작업으로 제출(Edwin)</t>
  </si>
  <si>
    <t>출동 승인</t>
  </si>
  <si>
    <t>센터장 승인</t>
  </si>
  <si>
    <t>IT-APV-003</t>
  </si>
  <si>
    <t>센터장이 승인하면 출동이 도착 상태로 돌아오고 승인 상태가 승인으로 바뀌는지 확인</t>
  </si>
  <si>
    <t>• IT-APV-002 이어서 · 김병철 로그인</t>
  </si>
  <si>
    <t>• 승인 요청 → [승인]</t>
  </si>
  <si>
    <t>• 승인 상태 Approved · 상태 Arrived</t>
  </si>
  <si>
    <t>2026-10-15 17:47: 김병철 승인, 출동 00000037 승인 상태 Approved · 상태 Arrived(조회 확인)</t>
  </si>
  <si>
    <t>반려 시 사유 필수 · 도착 복귀</t>
  </si>
  <si>
    <t>IT-APV-004</t>
  </si>
  <si>
    <t>기사 화면 [승인 요청] 표시</t>
  </si>
  <si>
    <t>IT-APV-005</t>
  </si>
  <si>
    <t>협력 기사의 출동 화면 강조 패널에 빠른 작업 [승인 요청]이 보이는지 확인</t>
  </si>
  <si>
    <t>• 출동 레코드 화면 열기</t>
  </si>
  <si>
    <t>• [승인 요청] 버튼 표시</t>
  </si>
  <si>
    <t>2026-10-15 버튼 미표시 → 원인: 출동 피드 추적으로 빠른 작업이 Chatter 게시자 영역에 배치(페이지에 피드 없음). 강조 표시 패널을 동적 작업으로 전환 후 최민호 화면에서 표시 확인. Flow 실행 권한은 추가하지 않음(개별 Flow 접근만으로 동작)</t>
  </si>
  <si>
    <t>결함 수정 후 재확인</t>
  </si>
  <si>
    <t>승인 요청 요약 · 승인할 항목</t>
  </si>
  <si>
    <t>IT-APV-006</t>
  </si>
  <si>
    <t>기사가 제출하면 승인 요청 요약(이유·부품별 줄·사유·고객 동의·메모)이 제출 댓글·출동 필드에 남고, 센터장 홈 "승인할 항목"과 승인 화면 필드 13개로 판단할 수 있는지 확인</t>
  </si>
  <si>
    <t>• [테스트] 접수 00001980 · 출동 00000050(₩850,000)</t>
  </si>
  <si>
    <t>• 최민호 [승인 요청] 제출 → 김병철 홈 "승인할 항목" → 승인 화면</t>
  </si>
  <si>
    <t>• 승인할 항목에 00000050 표시, 승인 화면 필드 13개, 제출자 댓글 = 요약</t>
  </si>
  <si>
    <t>2026-10-16: 김병철 홈 "승인할 항목"에 00000050 표시, 승인 화면 필드·제출자 댓글(요약) 확인 → 회수, 테스트 데이터(접수 00001980·출동 00000050·사용 부품 2) 삭제</t>
  </si>
  <si>
    <t>결함 이력: 수정사항관리(요약 줄바꿈)</t>
  </si>
  <si>
    <t>PROCESS 4 · 외부 연동 (ERP · 주소)</t>
  </si>
  <si>
    <t>도로명주소 검색</t>
  </si>
  <si>
    <t>주소 검색 실제 호출</t>
  </si>
  <si>
    <t>IT-IF-001</t>
  </si>
  <si>
    <t>사업장 빠른 작업 "주소 검색"이 도로명주소 API를 호출해 결과를 보여 주는지 확인</t>
  </si>
  <si>
    <t>• 승인키(보안 주체 HG_JusoPrincipal) 입력됨</t>
  </si>
  <si>
    <t>• 검색어 "평택로 32"</t>
  </si>
  <si>
    <t>• 결과 목록 · 더 보기</t>
  </si>
  <si>
    <t>2026-10-13 실제 호출 확인, 2026-10-15 "평택로 32" 24건 중 10건 표시(화면 캡처), 2026-10-18 이서연 화면 "판교역로 166" 결과 표시</t>
  </si>
  <si>
    <t>IF-07</t>
  </si>
  <si>
    <t>ERP 연동</t>
  </si>
  <si>
    <t>사용 부품 → ERP 차감</t>
  </si>
  <si>
    <t>IT-IF-002</t>
  </si>
  <si>
    <t>사용 부품 저장 후 Queueable이 ERP Mock에 차감을 보내고 결과·남은 수량을 기록하는지 확인</t>
  </si>
  <si>
    <t>• Named Credential HG_ErpMock · 기사 보안 주체 접근</t>
  </si>
  <si>
    <t>• IT-WO-002의 사용 부품</t>
  </si>
  <si>
    <t>• ErpSyncStatus__c = Synced, ERP 남은 수량 기록</t>
  </si>
  <si>
    <t>2026-10-13 실제 연동 확인, 최민호 사용 부품 3건 Synced(조회)</t>
  </si>
  <si>
    <t>실패 건 재전송</t>
  </si>
  <si>
    <t>IT-IF-003</t>
  </si>
  <si>
    <t>ERP 장애로 실패한 전송을 매시 재전송 Batch가 다시 보내는지 확인</t>
  </si>
  <si>
    <t>• ERP Mock 장애 모드(503)</t>
  </si>
  <si>
    <t>• 장애 중 저장 → 장애 해제 → 재전송 실행</t>
  </si>
  <si>
    <t>• Failed → Synced</t>
  </si>
  <si>
    <t>2026-10-13 수동 재전송 실행 확인(decision-log ERP 12·13). 연동 전 대기 건 이중 차감 사고 기록 있음</t>
  </si>
  <si>
    <t>사고 기록: decision-log ERP 13</t>
  </si>
  <si>
    <t>ERP 재고 변동 푸시</t>
  </si>
  <si>
    <t>IT-IF-004</t>
  </si>
  <si>
    <t>ERP Mock에서 입고·조정하면 즉시 Salesforce 재고에 변동량만큼 반영되는지 확인</t>
  </si>
  <si>
    <t>• 외부 클라이언트 앱 · 연동 사용자 권한 2개</t>
  </si>
  <si>
    <t>• ERP Mock 입고 +1, 조정 −5</t>
  </si>
  <si>
    <t>• 화면 "즉시 반영됨", 재고 19 → 20 → 15</t>
  </si>
  <si>
    <t>2026-10-15: #47 입고 +1·#48 조정 −5 즉시 반영, ERP 기록 "· 푸시"(작성자 ERP 연동). 첫 호출은 공유·권한 결함 2건 → 수정 후 성공</t>
  </si>
  <si>
    <t>IF-02-P</t>
  </si>
  <si>
    <t>ERP 재고 변동 가져오기(안전망)</t>
  </si>
  <si>
    <t>IT-IF-005</t>
  </si>
  <si>
    <t>푸시로 이미 반영된 변동은 가져오기에서 중복으로 건너뛰고 기준 번호만 올리는지 확인</t>
  </si>
  <si>
    <t>• IT-IF-004 이어서</t>
  </si>
  <si>
    <t>• 가져오기 수동 실행</t>
  </si>
  <si>
    <t>• 중복 2건 건너뜀, 기준 번호 46 → 48</t>
  </si>
  <si>
    <t>2026-10-15: 중복 2건 건너뜀, 기준 번호 46 → 48, #43~#46은 가져오기로 반영</t>
  </si>
  <si>
    <t>IF-02-R</t>
  </si>
  <si>
    <t>재고 이동 수령 → ERP</t>
  </si>
  <si>
    <t>IT-IF-006</t>
  </si>
  <si>
    <t>창고 → 기사 차량 재고 이동을 기사가 수령하면 ERP로 이동이 전송되는지 확인</t>
  </si>
  <si>
    <t>• 경기남부 창고 재고 · 최민호 차량</t>
  </si>
  <si>
    <t>• 재고 이동 생성 → 수령</t>
  </si>
  <si>
    <t>• ErpSyncStatus__c = Synced, Salesforce·ERP 재고 일치</t>
  </si>
  <si>
    <t>2026-10-16: PT-0005 최민호가 창고 PI-0035(냉매 R-404A)에서 1kg 수령 → Salesforce·ERP 모두 창고 50→49 · 차량 13.5→14.5, ERP 완료·불일치 없음</t>
  </si>
  <si>
    <t>IF-06</t>
  </si>
  <si>
    <t>ERP Mock 입고 푸시 화면 확인</t>
  </si>
  <si>
    <t>IT-IF-007</t>
  </si>
  <si>
    <t>ERP Mock 재고 화면에서 입고하면 화면에 Salesforce 반영 결과가 바로 보이고, Salesforce 동기화 기록에 푸시로 남는지 확인</t>
  </si>
  <si>
    <t>• ERP Mock 재고 화면(/)
• 경기남부 창고 재고</t>
  </si>
  <si>
    <t>• 입고 +1 → 결과 확인 → 조정 −1로 되돌림</t>
  </si>
  <si>
    <t>• 화면 "즉시 반영됨", Salesforce 창고 +1, 동기화 기록 "· 푸시"</t>
  </si>
  <si>
    <t>2026-10-18: 입고 +1 → "즉시 반영됨" → Salesforce 창고 +1, 동기화 기록 "· 푸시", 조정 −1로 되돌림(Edwin 화면 확인)</t>
  </si>
  <si>
    <t>단위 테스트 (재검증)</t>
  </si>
  <si>
    <t>전화 접수 · 조회 화면 (상담원 · 역할별 홈)</t>
  </si>
  <si>
    <t>배정 · 출동 · 재고 (센터장 · 기사)</t>
  </si>
  <si>
    <t>출동 승인 (기사 · 센터장)</t>
  </si>
  <si>
    <t>외부 연동 (ERP · 주소)</t>
  </si>
  <si>
    <t>I/F 테스트 결과 매트릭스</t>
    <phoneticPr fontId="30" type="noConversion"/>
  </si>
  <si>
    <t>각 I/F별 테스트 케이스 수와 Pass/Fail을 [통합테스트 시나리오] 시트의 I/F 열(P)로 자동 집계합니다. 미실행은 Pass·Fail 어느 쪽에도 넣지 않습니다.</t>
    <phoneticPr fontId="30" type="noConversion"/>
  </si>
  <si>
    <t>재고 변동 푸시</t>
  </si>
  <si>
    <t>REST (Apex REST, OAuth)</t>
  </si>
  <si>
    <t>ERP → SFDC</t>
  </si>
  <si>
    <t>재고 변동 가져오기</t>
  </si>
  <si>
    <t>REST (Batch)</t>
  </si>
  <si>
    <t>사용 부품 차감</t>
  </si>
  <si>
    <t>REST (Queueable)</t>
  </si>
  <si>
    <t>SFDC → ERP</t>
  </si>
  <si>
    <t>재고 이동</t>
  </si>
  <si>
    <t>REST (form → JSON)</t>
  </si>
  <si>
    <t>SFDC → 주소 API</t>
  </si>
  <si>
    <t>IF-02-P 재고 변동 푸시</t>
  </si>
  <si>
    <t>ERP Mock 입고·조정 직후 Apex REST(/services/apexrest/hg/erp/movements) 호출 → 재고 변동량 반영</t>
  </si>
  <si>
    <t>IF-02-R 재고 변동 가져오기</t>
  </si>
  <si>
    <t>매시 30분 Batch가 ERP 이력 번호 이후만 조회, 이미 기록된 번호는 건너뜀</t>
  </si>
  <si>
    <t>IF-03 사용 부품 차감</t>
  </si>
  <si>
    <t>사용 부품 저장 → Queueable → ERP 차감, 실패는 매시 재전송</t>
  </si>
  <si>
    <t>IF-06 재고 이동</t>
  </si>
  <si>
    <t>재고 이동 수령 → Queueable → ERP 출발 차감·도착 증가</t>
  </si>
  <si>
    <t>IF-07 도로명주소 검색</t>
  </si>
  <si>
    <t>사업장·고객사 주소 검색 → 행정안전부 API, 사업장 센터 자동 지정</t>
  </si>
  <si>
    <t>한결공조 AS 관리 시스템 — 통합 테스트 결과 요약</t>
    <phoneticPr fontId="30" type="noConversion"/>
  </si>
  <si>
    <t>2026-10-11 ~ 2026-10-18 (개발 org, 실제 사용자 Login As + org 기록)</t>
  </si>
  <si>
    <t>단위 테스트 (재검증)</t>
    <phoneticPr fontId="30" type="noConversion"/>
  </si>
  <si>
    <t>전화 접수 · 조회 화면 (상담원 · 역할별 홈)</t>
    <phoneticPr fontId="30" type="noConversion"/>
  </si>
  <si>
    <t>배정 · 출동 · 재고 (센터장 · 기사)</t>
    <phoneticPr fontId="30" type="noConversion"/>
  </si>
  <si>
    <t>출동 승인 (기사 · 센터장)</t>
    <phoneticPr fontId="30" type="noConversion"/>
  </si>
  <si>
    <t>외부 연동 (ERP · 주소)</t>
    <phoneticPr fontId="30" type="noConversion"/>
  </si>
  <si>
    <t>유형</t>
    <phoneticPr fontId="30" type="noConversion"/>
  </si>
  <si>
    <t>진행 중</t>
    <phoneticPr fontId="30" type="noConversion"/>
  </si>
  <si>
    <t>추가 · 검토</t>
    <phoneticPr fontId="30" type="noConversion"/>
  </si>
  <si>
    <t>합계</t>
    <phoneticPr fontId="30" type="noConversion"/>
  </si>
  <si>
    <t>한결공조 AS 관리 시스템</t>
    <phoneticPr fontId="30" type="noConversion"/>
  </si>
  <si>
    <t>v1.1</t>
    <phoneticPr fontId="30" type="noConversion"/>
  </si>
  <si>
    <t>수정 사항 목록 (단위 테스트 = 개발·테스트 중 발견, 통합 테스트 (1차) = 실제 사용자·실제 호출에서 발견)</t>
    <phoneticPr fontId="30" type="noConversion"/>
  </si>
  <si>
    <t>접수·사용 부품(전체 화면)</t>
  </si>
  <si>
    <t>API 67.0 기본 user mode로 상담원 접수 시 장비 집계 저장 안 됨, 기사 사용 부품 저장 불가 → 조회·DML 접근 모드 명시(시스템 계산 SYSTEM_MODE)</t>
  </si>
  <si>
    <t>D6, 상담원·기사 runAs 테스트 추가 중 발견</t>
  </si>
  <si>
    <t>출동 사용 부품(ERP 전송)</t>
  </si>
  <si>
    <t>기사가 저장한 부품이 ERP로 전송되지 않음 → 외부 자격 증명 권한 집합 4개에 UserExternalCredential 읽기 추가</t>
  </si>
  <si>
    <t>Login As 최민호(PC-245)</t>
  </si>
  <si>
    <t>사업장 등록</t>
  </si>
  <si>
    <t>상담원이 사업장을 등록하지 못함(서비스센터 편집 권한 없음) → 트리거가 주소 매핑으로 센터 지정</t>
  </si>
  <si>
    <t>센터 완전 자동(decision-log 도로명주소 9)</t>
  </si>
  <si>
    <t>차량 재고보다 많은 수량 입력 가능 → 화면·컨트롤러·트리거(VanStockService)에서 거부</t>
  </si>
  <si>
    <t>보안 R1</t>
  </si>
  <si>
    <t>고객사·사업장 등록</t>
  </si>
  <si>
    <t>"새로 만들기"를 다시 누르면 이전 입력값이 남음(재정의 화면 캐시) → pageReference 변경 시 다시 그림</t>
  </si>
  <si>
    <t>커밋 6e68ed4</t>
  </si>
  <si>
    <t>주소 검색칸 Enter가 등록 화면 저장으로 이어짐 → Enter = 바로 검색</t>
  </si>
  <si>
    <t>ERP Mock 재고 화면</t>
  </si>
  <si>
    <t>입고·조정 입력에 API 키가 브라우저 화면에 필요했음 → 화면 전용 주소(키 없음)로 분리</t>
  </si>
  <si>
    <t>부품 추가의 차량 재고 목록을 고를 수 없음(option에 disabled="false" 남음) → false 대신 null</t>
  </si>
  <si>
    <t>커밋 375728a</t>
  </si>
  <si>
    <t>ERP 푸시(IF-02-P)</t>
  </si>
  <si>
    <t>연동 사용자 호출에서 위치를 못 찾음(SYSTEM_MODE도 공유는 클래스 선언을 따름) → 입구 without sharing</t>
  </si>
  <si>
    <t>커밋 f3290d9, 테스트 normalAppliedByUserWithoutRecordAccess</t>
  </si>
  <si>
    <t>연동 사용자가 재고 저장 불가(FIELD_INTEGRITY_EXCEPTION) → 재고·위치·제품 읽기 권한 집합 추가</t>
  </si>
  <si>
    <t>HG_ErpIntegrationData</t>
  </si>
  <si>
    <t>협력 기사 화면에 [승인 요청] 빠른 작업이 보이지 않음 → 원인: 출동 피드 추적이 켜져 빠른 작업이 Chatter 게시자 영역에 배치됐는데 출동 레코드 페이지에 피드 구성 요소가 없음. 강조 표시 패널을 동적 작업으로 전환(편집·승인 요청·소유자 변경·복제·삭제)</t>
  </si>
  <si>
    <t>처음 추정(Flow 실행 권한)은 원인 아님. 최민호 화면 확인</t>
  </si>
  <si>
    <t>사용 부품 삭제</t>
  </si>
  <si>
    <t>삭제 시 표준과 Apex가 모두 재고를 되돌려 이중 증가(R6) → Apex 되돌림 제거, 테스트 기대값 수정(한 트랜잭션에선 표준 되돌림 없음), org에서 표준 1회 되돌림 확인(14.5→13.5→14.5)</t>
  </si>
  <si>
    <t>decision-log ERP 19</t>
  </si>
  <si>
    <t>출동 생성(표준 새로 만들기)</t>
  </si>
  <si>
    <t>접수 없이 만든 출동의 서비스센터가 비어 센터장 공유 규칙이 걸리지 않음(5건) → 저장 전 Flow 안전망(접수 값 복사) + 기존 출동 채움, 출동 생성은 [기사 배정]으로 일원화</t>
  </si>
  <si>
    <t>채운 뒤 센터장 역할 공유 생성 확인</t>
  </si>
  <si>
    <t>출동 탭 앱 내 안내</t>
  </si>
  <si>
    <t>안내 팝업이 아무에게도 뜨지 않음(대상 페이지 home, 출동 탭은 목록 list로 열림) → list로 수정(이후 게시 해제 결정)</t>
  </si>
  <si>
    <t>표시 기록 0건으로 발견</t>
  </si>
  <si>
    <t>재고 공유 규칙</t>
  </si>
  <si>
    <t>다른 센터 창고 재고가 경기남부 기사·센터장에게 보임(소유자 기준 규칙: 관리자 소유 재고 전부) → 재고 서비스센터·창고 재고 필드 + 조건 기준 규칙</t>
  </si>
  <si>
    <t>검증용 서울 창고 레코드로 발견, 테스트 ProductItemLocationFlowTest</t>
  </si>
  <si>
    <t>기사 배정 출동 출장비</t>
  </si>
  <si>
    <t>[기사 배정] 출동에 출장비가 비어 청구 합계에서 빠짐 → DispatchService 출장비 = ServiceSetting VisitFee, 저장 전 Flow 안전망</t>
  </si>
  <si>
    <t>한 사이클 실습 중 발견(00000049)</t>
  </si>
  <si>
    <t>승인 요청 요약</t>
  </si>
  <si>
    <t>Flow 텍스트 템플릿 앞뒤 줄바꿈이 지워져 요약 줄이 붙음 → 줄바꿈을 템플릿 가운데에 둠</t>
  </si>
  <si>
    <t>WorkOrderApprovalFlowTest로 발견</t>
  </si>
  <si>
    <t>접수 완료 검증 규칙 테스트</t>
  </si>
  <si>
    <t>관리자(검증 우회 권한)로 실행한 테스트에서 BR-18 규칙이 동작하지 않음 → 상담원 사용자로 runAs</t>
  </si>
  <si>
    <t>CaseWorkOrderStatsServiceTest</t>
  </si>
  <si>
    <t>개발 도구(커밋 훅)</t>
  </si>
  <si>
    <t>Prettier가 권한 집합 &lt;flow&gt; 값을 JS로 포맷해 망가뜨림 → XML 내장 언어 포맷 끔</t>
  </si>
  <si>
    <t>커밋 22c613a</t>
  </si>
  <si>
    <t>한결공조 AS 관리 시스템 — 테스트 결과서 요약</t>
    <phoneticPr fontId="30" type="noConversion"/>
  </si>
  <si>
    <t>※ [수정사항관리] 시트 기준 / 단위 테스트 · 통합 테스트(1차) 결과 요약. 2차·오픈 전 테스트는 이번 범위(개발 org)에서 실시하지 않음</t>
    <phoneticPr fontId="30" type="noConversion"/>
  </si>
  <si>
    <t>개발·테스트 중 발견 결함 11건 모두 완료(R6 반영 2026-10-16). 단위 테스트 248건 Pass(07 V1.1)</t>
    <phoneticPr fontId="30" type="noConversion"/>
  </si>
  <si>
    <t>미실시</t>
    <phoneticPr fontId="30" type="noConversion"/>
  </si>
  <si>
    <t>샌드박스 배포 후 실시 예정</t>
    <phoneticPr fontId="30" type="noConversion"/>
  </si>
  <si>
    <t>운영 배포 전 실시 예정</t>
    <phoneticPr fontId="30" type="noConversion"/>
  </si>
  <si>
    <t>2026-10-18 시연 연습 [시연/재고 부족]: 최민호가 배수펌프 DP-4 2개 추가 → "남은 1개" 거부 → 재고 이동(경기남부 창고 → 차량 2) 수령, ERP 반영 → 다시 2개 추가 성공, Salesforce·ERP 모두 차감(Edwin 화면 확인)</t>
    <phoneticPr fontId="30" type="noConversion"/>
  </si>
  <si>
    <t>• "차량 재고가 부족합니다" 거부 → 보충 후 저장</t>
    <phoneticPr fontId="30" type="noConversion"/>
  </si>
  <si>
    <t>• 수량 2 입력 → 재고 이동(창고 → 차량) 수령 → 다시 2 입력</t>
    <phoneticPr fontId="30" type="noConversion"/>
  </si>
  <si>
    <t>• 최민호(기사) 로그인
• [시연/재고 부족] 출동(차량 배수펌프 DP-4 1개)</t>
    <phoneticPr fontId="30" type="noConversion"/>
  </si>
  <si>
    <t>남은 수량보다 많이 입력하면 저장이 거부되고 재고 이동으로 보충한 뒤에는 저장되는지 확인</t>
    <phoneticPr fontId="30" type="noConversion"/>
  </si>
  <si>
    <t>유상 전환: 2026-10-18 시연 연습에서 확인(Edwin)</t>
    <phoneticPr fontId="30" type="noConversion"/>
  </si>
  <si>
    <t>Pass</t>
    <phoneticPr fontId="30" type="noConversion"/>
  </si>
  <si>
    <t>2026-10-11: 출동 00000001 반려 기록(org 승인 기록). 2026-10-18 시연 연습 [시연/승인 반려]: 김병철 거부 후 예외 무상 부품이 유상으로 전환(HG_WO_AfterReject) 확인</t>
    <phoneticPr fontId="30" type="noConversion"/>
  </si>
  <si>
    <t>• 상태 Arrived, 예외 무상은 유상 전환</t>
    <phoneticPr fontId="30" type="noConversion"/>
  </si>
  <si>
    <t>• [반려] + 반려 사유</t>
    <phoneticPr fontId="30" type="noConversion"/>
  </si>
  <si>
    <t>• 승인 대기 출동</t>
    <phoneticPr fontId="30" type="noConversion"/>
  </si>
  <si>
    <t>센터장이 반려하면 반려 사유가 필수이고 출동이 도착으로 돌아오는지 확인</t>
    <phoneticPr fontId="30" type="noConversion"/>
  </si>
  <si>
    <t>실제 사용자·실제 호출에서 발견한 결함 8건 모두 완료. 시나리오 27건: Pass 27 · 미실행 0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</si>
</sst>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%"/>
  </numFmts>
  <fonts count="47">
    <font>
      <sz val="11"/>
      <color theme="1"/>
      <name val="Calibri"/>
      <family val="2"/>
      <charset val="1"/>
    </font>
    <font>
      <b/>
      <sz val="10"/>
      <color rgb="FFFFFFFF"/>
      <name val="DejaVu Sans"/>
      <family val="2"/>
    </font>
    <font>
      <sz val="10"/>
      <color rgb="FF000000"/>
      <name val="DejaVu Sans"/>
      <family val="2"/>
    </font>
    <font>
      <b/>
      <sz val="14"/>
      <color rgb="FFFFFFFF"/>
      <name val="DejaVu Sans"/>
      <family val="2"/>
    </font>
    <font>
      <b/>
      <sz val="10"/>
      <color rgb="FFFFFFFF"/>
      <name val="맑은 고딕"/>
      <family val="2"/>
      <charset val="129"/>
    </font>
    <font>
      <i/>
      <sz val="9"/>
      <color rgb="FF1F3864"/>
      <name val="DejaVu Sans"/>
      <family val="2"/>
    </font>
    <font>
      <i/>
      <sz val="9"/>
      <color rgb="FF1F3864"/>
      <name val="맑은 고딕"/>
      <family val="2"/>
      <charset val="129"/>
    </font>
    <font>
      <b/>
      <sz val="14"/>
      <color rgb="FFFFFFFF"/>
      <name val="맑은 고딕"/>
      <family val="2"/>
      <charset val="129"/>
    </font>
    <font>
      <b/>
      <sz val="10"/>
      <color rgb="FF1F3864"/>
      <name val="맑은 고딕"/>
      <family val="2"/>
      <charset val="129"/>
    </font>
    <font>
      <b/>
      <sz val="10"/>
      <color rgb="FF000000"/>
      <name val="맑은 고딕"/>
      <family val="2"/>
      <charset val="129"/>
    </font>
    <font>
      <b/>
      <sz val="10"/>
      <color rgb="FF000000"/>
      <name val="DejaVu Sans"/>
      <family val="2"/>
    </font>
    <font>
      <sz val="9"/>
      <color rgb="FF000000"/>
      <name val="맑은 고딕"/>
      <family val="2"/>
      <charset val="129"/>
    </font>
    <font>
      <sz val="9"/>
      <color rgb="FF000000"/>
      <name val="DejaVu Sans"/>
      <family val="2"/>
    </font>
    <font>
      <sz val="11"/>
      <color theme="1"/>
      <name val="맑은 고딕"/>
      <family val="2"/>
      <charset val="1"/>
    </font>
    <font>
      <b/>
      <sz val="9"/>
      <color rgb="FFFFFFFF"/>
      <name val="DejaVu Sans"/>
      <family val="2"/>
    </font>
    <font>
      <sz val="9"/>
      <color rgb="FF000000"/>
      <name val="맑은 고딕"/>
      <family val="2"/>
      <charset val="1"/>
    </font>
    <font>
      <b/>
      <sz val="10"/>
      <color rgb="FFFFFFFF"/>
      <name val="맑은 고딕"/>
      <family val="2"/>
      <charset val="1"/>
    </font>
    <font>
      <b/>
      <sz val="12"/>
      <color rgb="FFFFFFFF"/>
      <name val="맑은 고딕"/>
      <family val="2"/>
      <charset val="129"/>
    </font>
    <font>
      <b/>
      <sz val="12"/>
      <color rgb="FFFFFFFF"/>
      <name val="DejaVu Sans"/>
      <family val="2"/>
    </font>
    <font>
      <sz val="11"/>
      <color theme="1"/>
      <name val="Noto Sans KR"/>
      <family val="2"/>
      <charset val="129"/>
    </font>
    <font>
      <b/>
      <sz val="16"/>
      <color rgb="FFFFFFFF"/>
      <name val="맑은 고딕"/>
      <family val="2"/>
      <charset val="129"/>
    </font>
    <font>
      <sz val="10"/>
      <color rgb="FF000000"/>
      <name val="맑은 고딕"/>
      <family val="2"/>
      <charset val="129"/>
    </font>
    <font>
      <b/>
      <sz val="14"/>
      <color rgb="FF000000"/>
      <name val="맑은 고딕"/>
      <family val="2"/>
      <charset val="129"/>
    </font>
    <font>
      <b/>
      <sz val="14"/>
      <color rgb="FF000000"/>
      <name val="DejaVu Sans"/>
      <family val="2"/>
    </font>
    <font>
      <b/>
      <sz val="11"/>
      <color rgb="FFFFFFFF"/>
      <name val="맑은 고딕"/>
      <family val="2"/>
      <charset val="129"/>
    </font>
    <font>
      <b/>
      <sz val="11"/>
      <color rgb="FF000000"/>
      <name val="맑은 고딕"/>
      <family val="2"/>
      <charset val="129"/>
    </font>
    <font>
      <b/>
      <sz val="11"/>
      <color rgb="FFFFFFFF"/>
      <name val="DejaVu Sans"/>
      <family val="2"/>
    </font>
    <font>
      <b/>
      <sz val="9"/>
      <color rgb="FF000000"/>
      <name val="맑은 고딕"/>
      <family val="2"/>
      <charset val="129"/>
    </font>
    <font>
      <b/>
      <sz val="11"/>
      <color rgb="FF1F3864"/>
      <name val="DejaVu Sans"/>
      <family val="2"/>
    </font>
    <font>
      <b/>
      <sz val="11"/>
      <color rgb="FF1F3864"/>
      <name val="맑은 고딕"/>
      <family val="2"/>
      <charset val="129"/>
    </font>
    <font>
      <sz val="8"/>
      <name val="돋움체"/>
      <family val="3"/>
      <charset val="129"/>
    </font>
    <font>
      <b/>
      <sz val="10"/>
      <color rgb="FFFFFFFF"/>
      <name val="Noto Sans KR"/>
      <family val="2"/>
      <charset val="129"/>
    </font>
    <font>
      <b/>
      <sz val="14"/>
      <color rgb="FFFFFFFF"/>
      <name val="맑은 고딕"/>
      <family val="2"/>
    </font>
    <font>
      <sz val="11"/>
      <color theme="1"/>
      <name val="맑은 고딕"/>
      <family val="2"/>
    </font>
    <font>
      <b/>
      <sz val="9"/>
      <color rgb="FFFFFFFF"/>
      <name val="맑은 고딕"/>
      <family val="2"/>
    </font>
    <font>
      <sz val="9"/>
      <color rgb="FF000000"/>
      <name val="맑은 고딕"/>
      <family val="2"/>
    </font>
    <font>
      <b/>
      <sz val="10"/>
      <color rgb="FFFFFFFF"/>
      <name val="맑은 고딕"/>
      <family val="2"/>
    </font>
    <font>
      <sz val="10"/>
      <color rgb="FF000000"/>
      <name val="맑은 고딕"/>
      <family val="2"/>
    </font>
    <font>
      <sz val="10"/>
      <color rgb="FFFF0000"/>
      <name val="맑은 고딕"/>
      <family val="2"/>
    </font>
    <font>
      <sz val="11"/>
      <color theme="1"/>
      <name val="맑은 고딕"/>
      <family val="2"/>
      <charset val="129"/>
    </font>
    <font>
      <i/>
      <sz val="10"/>
      <color rgb="FF1F3864"/>
      <name val="맑은 고딕"/>
      <family val="2"/>
      <charset val="129"/>
    </font>
    <font>
      <b/>
      <sz val="13"/>
      <color rgb="FFFFFFFF"/>
      <name val="맑은 고딕"/>
      <family val="2"/>
      <charset val="129"/>
    </font>
    <font>
      <i/>
      <sz val="9"/>
      <color rgb="FF808080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0"/>
      <color theme="10"/>
      <name val="Calibri"/>
      <family val="2"/>
    </font>
    <font>
      <i/>
      <sz val="9"/>
      <color rgb="FFFF0000"/>
      <name val="맑은 고딕"/>
      <family val="2"/>
      <charset val="129"/>
    </font>
    <font>
      <i/>
      <sz val="9"/>
      <color rgb="FFFF0000"/>
      <name val="맑은 고딕"/>
      <family val="2"/>
    </font>
  </fonts>
  <fills count="24">
    <fill>
      <patternFill patternType="none"/>
    </fill>
    <fill>
      <patternFill patternType="gray125"/>
    </fill>
    <fill>
      <patternFill patternType="solid">
        <fgColor theme="0"/>
        <bgColor rgb="FFEAF1F8"/>
      </patternFill>
    </fill>
    <fill>
      <patternFill patternType="solid">
        <fgColor rgb="FF1F3864"/>
        <bgColor rgb="FF0F2A4F"/>
      </patternFill>
    </fill>
    <fill>
      <patternFill patternType="solid">
        <fgColor rgb="FF2E5FA3"/>
        <bgColor rgb="FF3366FF"/>
      </patternFill>
    </fill>
    <fill>
      <patternFill patternType="solid">
        <fgColor rgb="FFDEEAF1"/>
        <bgColor rgb="FFEAF1F8"/>
      </patternFill>
    </fill>
    <fill>
      <patternFill patternType="solid">
        <fgColor rgb="FFFFC000"/>
        <bgColor rgb="FFFF9900"/>
      </patternFill>
    </fill>
    <fill>
      <patternFill patternType="solid">
        <fgColor rgb="FF0F2A4F"/>
        <bgColor rgb="FF1F3864"/>
      </patternFill>
    </fill>
    <fill>
      <patternFill patternType="solid">
        <fgColor rgb="FFEAF1F8"/>
        <bgColor rgb="FFDEEAF1"/>
      </patternFill>
    </fill>
    <fill>
      <patternFill patternType="solid">
        <fgColor rgb="FFBDD7EE"/>
        <bgColor rgb="FFB8CCE4"/>
      </patternFill>
    </fill>
    <fill>
      <patternFill patternType="solid">
        <fgColor rgb="FFC6E0B4"/>
        <bgColor rgb="FFBDD7EE"/>
      </patternFill>
    </fill>
    <fill>
      <patternFill patternType="solid">
        <fgColor rgb="FFF8CBAD"/>
        <bgColor rgb="FFFCD5B5"/>
      </patternFill>
    </fill>
    <fill>
      <patternFill patternType="solid">
        <fgColor rgb="FFFFE699"/>
        <bgColor rgb="FFFCD5B5"/>
      </patternFill>
    </fill>
    <fill>
      <patternFill patternType="solid">
        <fgColor rgb="FF1F3864"/>
        <bgColor rgb="FF333333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FF9F0"/>
      </patternFill>
    </fill>
    <fill>
      <patternFill patternType="solid">
        <fgColor rgb="FF1F3864"/>
      </patternFill>
    </fill>
    <fill>
      <patternFill patternType="solid">
        <fgColor rgb="FFEAF1F8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2E5FA3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8CCE4"/>
      </left>
      <right/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  <border>
      <left/>
      <right/>
      <top style="thin">
        <color rgb="FFB8CCE4"/>
      </top>
      <bottom style="thin">
        <color rgb="FFB8CCE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2" borderId="0" xfId="0" applyFill="1"/>
    <xf numFmtId="0" fontId="4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3" fillId="0" borderId="0" xfId="0" applyFont="1"/>
    <xf numFmtId="0" fontId="13" fillId="0" borderId="0" xfId="0" applyFont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14" fillId="4" borderId="4" xfId="0" applyFont="1" applyFill="1" applyBorder="1" applyAlignment="1">
      <alignment horizontal="left" vertical="center" wrapText="1"/>
    </xf>
    <xf numFmtId="0" fontId="15" fillId="9" borderId="4" xfId="0" applyFont="1" applyFill="1" applyBorder="1" applyAlignment="1">
      <alignment horizontal="left" vertical="center"/>
    </xf>
    <xf numFmtId="0" fontId="14" fillId="4" borderId="4" xfId="0" applyFont="1" applyFill="1" applyBorder="1" applyAlignment="1">
      <alignment horizontal="center" vertical="center" wrapText="1"/>
    </xf>
    <xf numFmtId="0" fontId="15" fillId="9" borderId="4" xfId="0" applyFont="1" applyFill="1" applyBorder="1" applyAlignment="1">
      <alignment horizontal="left" vertical="center" wrapText="1"/>
    </xf>
    <xf numFmtId="0" fontId="16" fillId="4" borderId="4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left" vertical="center"/>
    </xf>
    <xf numFmtId="0" fontId="18" fillId="7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9" fillId="2" borderId="1" xfId="0" applyFont="1" applyFill="1" applyBorder="1"/>
    <xf numFmtId="0" fontId="10" fillId="5" borderId="1" xfId="0" applyFont="1" applyFill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 wrapText="1"/>
    </xf>
    <xf numFmtId="177" fontId="22" fillId="8" borderId="1" xfId="0" applyNumberFormat="1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5" fillId="12" borderId="1" xfId="0" applyFont="1" applyFill="1" applyBorder="1" applyAlignment="1">
      <alignment horizontal="center" vertical="center" wrapText="1"/>
    </xf>
    <xf numFmtId="0" fontId="24" fillId="7" borderId="1" xfId="0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left" vertical="center" wrapText="1"/>
    </xf>
    <xf numFmtId="177" fontId="24" fillId="7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177" fontId="27" fillId="8" borderId="1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horizontal="left" vertical="center" wrapText="1"/>
    </xf>
    <xf numFmtId="0" fontId="31" fillId="4" borderId="4" xfId="0" applyFont="1" applyFill="1" applyBorder="1" applyAlignment="1">
      <alignment horizontal="center" vertical="center" wrapText="1"/>
    </xf>
    <xf numFmtId="0" fontId="32" fillId="13" borderId="6" xfId="0" applyFont="1" applyFill="1" applyBorder="1" applyAlignment="1">
      <alignment vertical="center" wrapText="1"/>
    </xf>
    <xf numFmtId="0" fontId="32" fillId="13" borderId="6" xfId="0" applyFont="1" applyFill="1" applyBorder="1" applyAlignment="1">
      <alignment vertical="center"/>
    </xf>
    <xf numFmtId="0" fontId="33" fillId="0" borderId="0" xfId="0" applyFont="1"/>
    <xf numFmtId="0" fontId="34" fillId="4" borderId="4" xfId="0" applyFont="1" applyFill="1" applyBorder="1" applyAlignment="1">
      <alignment horizontal="center" vertical="center" wrapText="1"/>
    </xf>
    <xf numFmtId="0" fontId="35" fillId="9" borderId="3" xfId="0" applyFont="1" applyFill="1" applyBorder="1" applyAlignment="1">
      <alignment vertical="center" wrapText="1"/>
    </xf>
    <xf numFmtId="0" fontId="35" fillId="9" borderId="5" xfId="0" applyFont="1" applyFill="1" applyBorder="1" applyAlignment="1">
      <alignment vertical="center" wrapText="1"/>
    </xf>
    <xf numFmtId="14" fontId="35" fillId="9" borderId="4" xfId="0" applyNumberFormat="1" applyFont="1" applyFill="1" applyBorder="1" applyAlignment="1">
      <alignment horizontal="left" vertical="center" wrapText="1"/>
    </xf>
    <xf numFmtId="0" fontId="36" fillId="4" borderId="4" xfId="0" applyFont="1" applyFill="1" applyBorder="1" applyAlignment="1">
      <alignment horizontal="center" vertical="center" wrapText="1"/>
    </xf>
    <xf numFmtId="0" fontId="37" fillId="14" borderId="4" xfId="0" applyFont="1" applyFill="1" applyBorder="1" applyAlignment="1">
      <alignment horizontal="left" vertical="center" wrapText="1"/>
    </xf>
    <xf numFmtId="0" fontId="33" fillId="0" borderId="0" xfId="0" applyFont="1" applyAlignment="1">
      <alignment wrapText="1"/>
    </xf>
    <xf numFmtId="0" fontId="37" fillId="15" borderId="4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177" fontId="9" fillId="8" borderId="1" xfId="0" applyNumberFormat="1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9" fillId="2" borderId="0" xfId="0" applyFont="1" applyFill="1"/>
    <xf numFmtId="0" fontId="39" fillId="2" borderId="0" xfId="0" applyFont="1" applyFill="1"/>
    <xf numFmtId="0" fontId="9" fillId="18" borderId="7" xfId="0" applyFont="1" applyFill="1" applyBorder="1" applyAlignment="1">
      <alignment horizontal="center" vertical="center" wrapText="1"/>
    </xf>
    <xf numFmtId="0" fontId="21" fillId="19" borderId="7" xfId="0" applyFont="1" applyFill="1" applyBorder="1" applyAlignment="1">
      <alignment horizontal="center" vertical="center" wrapText="1"/>
    </xf>
    <xf numFmtId="0" fontId="0" fillId="0" borderId="8" xfId="0" applyBorder="1"/>
    <xf numFmtId="0" fontId="4" fillId="20" borderId="7" xfId="0" applyFont="1" applyFill="1" applyBorder="1" applyAlignment="1">
      <alignment horizontal="center" vertical="center" wrapText="1"/>
    </xf>
    <xf numFmtId="0" fontId="8" fillId="17" borderId="7" xfId="0" applyFont="1" applyFill="1" applyBorder="1" applyAlignment="1">
      <alignment horizontal="left" vertical="center" wrapText="1" indent="1"/>
    </xf>
    <xf numFmtId="177" fontId="9" fillId="21" borderId="7" xfId="0" applyNumberFormat="1" applyFont="1" applyFill="1" applyBorder="1" applyAlignment="1">
      <alignment horizontal="center" vertical="center" wrapText="1"/>
    </xf>
    <xf numFmtId="0" fontId="42" fillId="19" borderId="7" xfId="0" applyFont="1" applyFill="1" applyBorder="1" applyAlignment="1">
      <alignment horizontal="left" vertical="center" wrapText="1" indent="1"/>
    </xf>
    <xf numFmtId="0" fontId="24" fillId="16" borderId="9" xfId="0" applyFont="1" applyFill="1" applyBorder="1" applyAlignment="1">
      <alignment horizontal="center" vertical="center" wrapText="1"/>
    </xf>
    <xf numFmtId="177" fontId="24" fillId="16" borderId="9" xfId="0" applyNumberFormat="1" applyFont="1" applyFill="1" applyBorder="1" applyAlignment="1">
      <alignment horizontal="center" vertical="center" wrapText="1"/>
    </xf>
    <xf numFmtId="0" fontId="9" fillId="22" borderId="7" xfId="0" applyFont="1" applyFill="1" applyBorder="1" applyAlignment="1">
      <alignment horizontal="center" vertical="center" wrapText="1"/>
    </xf>
    <xf numFmtId="14" fontId="37" fillId="14" borderId="4" xfId="0" applyNumberFormat="1" applyFont="1" applyFill="1" applyBorder="1" applyAlignment="1">
      <alignment horizontal="left" vertical="center" wrapText="1"/>
    </xf>
    <xf numFmtId="14" fontId="37" fillId="15" borderId="4" xfId="0" applyNumberFormat="1" applyFont="1" applyFill="1" applyBorder="1" applyAlignment="1">
      <alignment horizontal="left" vertical="center" wrapText="1"/>
    </xf>
    <xf numFmtId="14" fontId="38" fillId="15" borderId="4" xfId="0" applyNumberFormat="1" applyFont="1" applyFill="1" applyBorder="1" applyAlignment="1">
      <alignment horizontal="left" vertical="center" wrapText="1"/>
    </xf>
    <xf numFmtId="14" fontId="38" fillId="14" borderId="4" xfId="0" applyNumberFormat="1" applyFont="1" applyFill="1" applyBorder="1" applyAlignment="1">
      <alignment horizontal="left" vertical="center" wrapText="1"/>
    </xf>
    <xf numFmtId="0" fontId="38" fillId="15" borderId="4" xfId="0" applyFont="1" applyFill="1" applyBorder="1" applyAlignment="1">
      <alignment horizontal="left" vertical="center" wrapText="1"/>
    </xf>
    <xf numFmtId="0" fontId="38" fillId="14" borderId="4" xfId="0" applyFont="1" applyFill="1" applyBorder="1" applyAlignment="1">
      <alignment horizontal="left" vertical="center" wrapText="1"/>
    </xf>
    <xf numFmtId="14" fontId="32" fillId="13" borderId="6" xfId="0" applyNumberFormat="1" applyFont="1" applyFill="1" applyBorder="1" applyAlignment="1">
      <alignment vertical="center"/>
    </xf>
    <xf numFmtId="14" fontId="33" fillId="0" borderId="0" xfId="0" applyNumberFormat="1" applyFont="1"/>
    <xf numFmtId="14" fontId="36" fillId="4" borderId="4" xfId="0" applyNumberFormat="1" applyFont="1" applyFill="1" applyBorder="1" applyAlignment="1">
      <alignment horizontal="center" vertical="center" wrapText="1"/>
    </xf>
    <xf numFmtId="14" fontId="32" fillId="13" borderId="6" xfId="0" applyNumberFormat="1" applyFont="1" applyFill="1" applyBorder="1" applyAlignment="1">
      <alignment vertical="center" wrapText="1"/>
    </xf>
    <xf numFmtId="14" fontId="35" fillId="9" borderId="0" xfId="0" applyNumberFormat="1" applyFont="1" applyFill="1" applyAlignment="1">
      <alignment horizontal="left" vertical="center" wrapText="1"/>
    </xf>
    <xf numFmtId="0" fontId="32" fillId="13" borderId="3" xfId="0" applyFont="1" applyFill="1" applyBorder="1" applyAlignment="1">
      <alignment horizontal="center" vertical="center" wrapText="1"/>
    </xf>
    <xf numFmtId="0" fontId="37" fillId="14" borderId="4" xfId="0" applyFont="1" applyFill="1" applyBorder="1" applyAlignment="1">
      <alignment horizontal="center" vertical="center" wrapText="1"/>
    </xf>
    <xf numFmtId="0" fontId="37" fillId="15" borderId="4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/>
    </xf>
    <xf numFmtId="0" fontId="0" fillId="23" borderId="0" xfId="0" applyFill="1"/>
    <xf numFmtId="0" fontId="45" fillId="19" borderId="7" xfId="0" applyFont="1" applyFill="1" applyBorder="1" applyAlignment="1">
      <alignment horizontal="left" vertical="center" wrapText="1" indent="1"/>
    </xf>
    <xf numFmtId="0" fontId="46" fillId="19" borderId="7" xfId="0" applyFont="1" applyFill="1" applyBorder="1" applyAlignment="1">
      <alignment horizontal="left" vertical="center" wrapText="1" indent="1"/>
    </xf>
    <xf numFmtId="0" fontId="43" fillId="17" borderId="7" xfId="0" applyFont="1" applyFill="1" applyBorder="1" applyAlignment="1">
      <alignment horizontal="left" vertical="center" wrapText="1" indent="1"/>
    </xf>
    <xf numFmtId="0" fontId="36" fillId="4" borderId="3" xfId="0" applyFont="1" applyFill="1" applyBorder="1" applyAlignment="1">
      <alignment horizontal="left" vertical="center" wrapText="1"/>
    </xf>
    <xf numFmtId="0" fontId="36" fillId="4" borderId="6" xfId="0" applyFont="1" applyFill="1" applyBorder="1" applyAlignment="1">
      <alignment horizontal="left" vertical="center" wrapText="1"/>
    </xf>
    <xf numFmtId="0" fontId="36" fillId="4" borderId="5" xfId="0" applyFont="1" applyFill="1" applyBorder="1" applyAlignment="1">
      <alignment horizontal="left" vertical="center" wrapText="1"/>
    </xf>
    <xf numFmtId="14" fontId="15" fillId="9" borderId="4" xfId="0" applyNumberFormat="1" applyFont="1" applyFill="1" applyBorder="1" applyAlignment="1">
      <alignment horizontal="left" vertical="center" wrapText="1"/>
    </xf>
    <xf numFmtId="0" fontId="41" fillId="16" borderId="7" xfId="0" applyFont="1" applyFill="1" applyBorder="1" applyAlignment="1">
      <alignment horizontal="left" vertical="center" wrapText="1" indent="1"/>
    </xf>
    <xf numFmtId="0" fontId="0" fillId="0" borderId="0" xfId="0"/>
    <xf numFmtId="0" fontId="20" fillId="16" borderId="7" xfId="0" applyFont="1" applyFill="1" applyBorder="1" applyAlignment="1">
      <alignment horizontal="center" vertical="center" wrapText="1"/>
    </xf>
    <xf numFmtId="0" fontId="40" fillId="17" borderId="7" xfId="0" applyFont="1" applyFill="1" applyBorder="1" applyAlignment="1">
      <alignment horizontal="center" vertical="center" wrapText="1"/>
    </xf>
    <xf numFmtId="0" fontId="21" fillId="19" borderId="7" xfId="0" applyFont="1" applyFill="1" applyBorder="1" applyAlignment="1">
      <alignment horizontal="center" vertical="center" wrapText="1"/>
    </xf>
    <xf numFmtId="0" fontId="0" fillId="0" borderId="8" xfId="0" applyBorder="1"/>
    <xf numFmtId="176" fontId="21" fillId="19" borderId="7" xfId="0" applyNumberFormat="1" applyFont="1" applyFill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left" vertical="center" wrapText="1"/>
    </xf>
    <xf numFmtId="176" fontId="21" fillId="2" borderId="1" xfId="0" applyNumberFormat="1" applyFont="1" applyFill="1" applyBorder="1" applyAlignment="1">
      <alignment horizontal="left" vertical="center" wrapText="1"/>
    </xf>
    <xf numFmtId="0" fontId="18" fillId="7" borderId="2" xfId="0" applyFont="1" applyFill="1" applyBorder="1" applyAlignment="1">
      <alignment horizontal="left" vertical="center" wrapText="1"/>
    </xf>
    <xf numFmtId="0" fontId="26" fillId="7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27" fillId="5" borderId="2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CE4"/>
      <rgbColor rgb="FF808080"/>
      <rgbColor rgb="FF9999FF"/>
      <rgbColor rgb="FF993366"/>
      <rgbColor rgb="FFFCD5B5"/>
      <rgbColor rgb="FFDEEAF1"/>
      <rgbColor rgb="FF660066"/>
      <rgbColor rgb="FFFF8080"/>
      <rgbColor rgb="FF2E5FA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8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F2A4F"/>
      <rgbColor rgb="FF339966"/>
      <rgbColor rgb="FF003300"/>
      <rgbColor rgb="FF333300"/>
      <rgbColor rgb="FF993300"/>
      <rgbColor rgb="FF993366"/>
      <rgbColor rgb="FF333399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00000-CBD7-4EFE-8CBC-6BA338FCE917}">
  <sheetPr>
    <tabColor rgb="FFFF0000"/>
  </sheetPr>
  <dimension ref="B2:I20"/>
  <sheetViews>
    <sheetView tabSelected="1" zoomScale="85" zoomScaleNormal="85" workbookViewId="0">
      <selection activeCell="M14" sqref="M14"/>
    </sheetView>
  </sheetViews>
  <sheetFormatPr defaultColWidth="9.1796875" defaultRowHeight="14.5"/>
  <cols>
    <col min="1" max="1" width="3.26953125" style="91" customWidth="1"/>
    <col min="2" max="2" width="4" style="91" customWidth="1"/>
    <col min="3" max="3" width="22" style="91" customWidth="1"/>
    <col min="4" max="5" width="11" style="91" customWidth="1"/>
    <col min="6" max="6" width="13.81640625" style="91" customWidth="1"/>
    <col min="7" max="7" width="11" style="91" customWidth="1"/>
    <col min="8" max="8" width="17.26953125" style="91" customWidth="1"/>
    <col min="9" max="9" width="37" style="91" customWidth="1"/>
    <col min="10" max="16384" width="9.1796875" style="91"/>
  </cols>
  <sheetData>
    <row r="2" spans="2:9" ht="36" customHeight="1">
      <c r="B2" s="101" t="s">
        <v>407</v>
      </c>
      <c r="C2" s="100"/>
      <c r="D2" s="100"/>
      <c r="E2" s="100"/>
      <c r="F2" s="100"/>
      <c r="G2" s="100"/>
      <c r="H2" s="100"/>
      <c r="I2" s="100"/>
    </row>
    <row r="3" spans="2:9" ht="22" customHeight="1">
      <c r="B3" s="102" t="s">
        <v>408</v>
      </c>
      <c r="C3" s="100"/>
      <c r="D3" s="100"/>
      <c r="E3" s="100"/>
      <c r="F3" s="100"/>
      <c r="G3" s="100"/>
      <c r="H3" s="100"/>
      <c r="I3" s="100"/>
    </row>
    <row r="4" spans="2:9" ht="80">
      <c r="B4" s="66" t="s">
        <v>0</v>
      </c>
      <c r="C4" s="103" t="s">
        <v>104</v>
      </c>
      <c r="D4" s="104"/>
      <c r="E4" s="66" t="s">
        <v>1</v>
      </c>
      <c r="F4" s="105">
        <v>46313</v>
      </c>
      <c r="G4" s="104"/>
      <c r="H4" s="66" t="s">
        <v>2</v>
      </c>
      <c r="I4" s="68" t="s">
        <v>105</v>
      </c>
    </row>
    <row r="6" spans="2:9" ht="26.15" customHeight="1">
      <c r="B6" s="99" t="s">
        <v>3</v>
      </c>
      <c r="C6" s="100"/>
      <c r="D6" s="100"/>
      <c r="E6" s="100"/>
      <c r="F6" s="100"/>
      <c r="G6" s="100"/>
      <c r="H6" s="100"/>
      <c r="I6" s="100"/>
    </row>
    <row r="7" spans="2:9" ht="16">
      <c r="B7" s="69" t="s">
        <v>4</v>
      </c>
      <c r="C7" s="69" t="s">
        <v>5</v>
      </c>
      <c r="D7" s="69" t="s">
        <v>6</v>
      </c>
      <c r="E7" s="69" t="s">
        <v>7</v>
      </c>
      <c r="F7" s="69" t="s">
        <v>8</v>
      </c>
      <c r="G7" s="69" t="s">
        <v>9</v>
      </c>
      <c r="H7" s="69" t="s">
        <v>10</v>
      </c>
      <c r="I7" s="69" t="s">
        <v>11</v>
      </c>
    </row>
    <row r="8" spans="2:9" ht="15" customHeight="1">
      <c r="B8" s="66" t="s">
        <v>12</v>
      </c>
      <c r="C8" s="70" t="s">
        <v>13</v>
      </c>
      <c r="D8" s="67">
        <f>COUNTIF(수정사항관리!$A:$A, "단위 테스트")</f>
        <v>11</v>
      </c>
      <c r="E8" s="67">
        <f>COUNTIFS(수정사항관리!$A:$A, "단위 테스트", 수정사항관리!$K:$K, "완료")</f>
        <v>11</v>
      </c>
      <c r="F8" s="67">
        <f>D8-E8</f>
        <v>0</v>
      </c>
      <c r="G8" s="71">
        <f>IFERROR(E8/D8, 0)</f>
        <v>1</v>
      </c>
      <c r="H8" s="67" t="s">
        <v>14</v>
      </c>
      <c r="I8" s="92" t="s">
        <v>409</v>
      </c>
    </row>
    <row r="9" spans="2:9" ht="29">
      <c r="B9" s="66" t="s">
        <v>15</v>
      </c>
      <c r="C9" s="70" t="s">
        <v>16</v>
      </c>
      <c r="D9" s="67">
        <f>COUNTIF(수정사항관리!$A:$A, "통합 테스트 (1차)")</f>
        <v>8</v>
      </c>
      <c r="E9" s="67">
        <f>COUNTIFS(수정사항관리!$A:$A, "통합 테스트 (1차)", 수정사항관리!$K:$K, "완료")</f>
        <v>8</v>
      </c>
      <c r="F9" s="67">
        <f>D9-E9</f>
        <v>0</v>
      </c>
      <c r="G9" s="71">
        <f>IFERROR(E9/D9, 0)</f>
        <v>1</v>
      </c>
      <c r="H9" s="67" t="s">
        <v>14</v>
      </c>
      <c r="I9" s="93" t="s">
        <v>425</v>
      </c>
    </row>
    <row r="10" spans="2:9" ht="16">
      <c r="B10" s="66" t="s">
        <v>17</v>
      </c>
      <c r="C10" s="70" t="s">
        <v>18</v>
      </c>
      <c r="D10" s="67">
        <f>COUNTIF(수정사항관리!$A:$A, "통합 테스트 (2차)")</f>
        <v>0</v>
      </c>
      <c r="E10" s="67">
        <f>COUNTIFS(수정사항관리!$A:$A, "통합 테스트 (2차)", 수정사항관리!$K:$K, "완료")</f>
        <v>0</v>
      </c>
      <c r="F10" s="67">
        <f>D10-E10</f>
        <v>0</v>
      </c>
      <c r="G10" s="71">
        <f>IFERROR(E10/D10, 0)</f>
        <v>0</v>
      </c>
      <c r="H10" s="67" t="s">
        <v>410</v>
      </c>
      <c r="I10" s="93" t="s">
        <v>411</v>
      </c>
    </row>
    <row r="11" spans="2:9" ht="16.5" thickBot="1">
      <c r="B11" s="66">
        <v>4</v>
      </c>
      <c r="C11" s="94" t="s">
        <v>19</v>
      </c>
      <c r="D11" s="67">
        <f>COUNTIF(수정사항관리!$A:$A, "Open전 Test")</f>
        <v>0</v>
      </c>
      <c r="E11" s="67">
        <f>COUNTIFS(수정사항관리!$A:$A, "Open전 Test", 수정사항관리!$K:$K, "완료")</f>
        <v>0</v>
      </c>
      <c r="F11" s="67">
        <f>D11-E11</f>
        <v>0</v>
      </c>
      <c r="G11" s="71">
        <f>IFERROR(E11/D11, 0)</f>
        <v>0</v>
      </c>
      <c r="H11" s="67" t="s">
        <v>410</v>
      </c>
      <c r="I11" s="93" t="s">
        <v>412</v>
      </c>
    </row>
    <row r="12" spans="2:9" ht="17.5" thickBot="1">
      <c r="B12" s="73"/>
      <c r="C12" s="73" t="s">
        <v>20</v>
      </c>
      <c r="D12" s="73">
        <f>SUM(D8:D11)</f>
        <v>19</v>
      </c>
      <c r="E12" s="73">
        <f>SUM(E8:E11)</f>
        <v>19</v>
      </c>
      <c r="F12" s="73">
        <f>SUM(F8:F11)</f>
        <v>0</v>
      </c>
      <c r="G12" s="74">
        <f>IFERROR(E12/D12, 0)</f>
        <v>1</v>
      </c>
      <c r="H12" s="73"/>
      <c r="I12" s="73"/>
    </row>
    <row r="14" spans="2:9" ht="26.15" customHeight="1">
      <c r="B14" s="99" t="s">
        <v>21</v>
      </c>
      <c r="C14" s="100"/>
      <c r="D14" s="100"/>
      <c r="E14" s="100"/>
      <c r="F14" s="100"/>
      <c r="G14" s="100"/>
      <c r="H14" s="100"/>
      <c r="I14" s="100"/>
    </row>
    <row r="15" spans="2:9" ht="16">
      <c r="B15" s="69" t="s">
        <v>4</v>
      </c>
      <c r="C15" s="69" t="s">
        <v>5</v>
      </c>
      <c r="D15" s="69" t="s">
        <v>22</v>
      </c>
      <c r="E15" s="69" t="s">
        <v>23</v>
      </c>
      <c r="F15" s="69" t="s">
        <v>24</v>
      </c>
      <c r="G15" s="69" t="s">
        <v>25</v>
      </c>
      <c r="H15" s="69" t="s">
        <v>20</v>
      </c>
      <c r="I15" s="69" t="s">
        <v>11</v>
      </c>
    </row>
    <row r="16" spans="2:9" ht="16">
      <c r="B16" s="66" t="s">
        <v>12</v>
      </c>
      <c r="C16" s="70" t="s">
        <v>26</v>
      </c>
      <c r="D16" s="67">
        <f>COUNTIFS(수정사항관리!$A:$A, "단위 테스트", 수정사항관리!$E:$E, "수정")</f>
        <v>5</v>
      </c>
      <c r="E16" s="67">
        <f>COUNTIFS(수정사항관리!$A:$A, "단위 테스트", 수정사항관리!$E:$E, "추가")</f>
        <v>0</v>
      </c>
      <c r="F16" s="67">
        <f>COUNTIFS(수정사항관리!$A:$A, "단위 테스트", 수정사항관리!$E:$E, "오류")</f>
        <v>6</v>
      </c>
      <c r="G16" s="67">
        <f>COUNTIFS(수정사항관리!$A:$A, "단위 테스트", 수정사항관리!$E:$E, "검토")</f>
        <v>0</v>
      </c>
      <c r="H16" s="75">
        <f>SUM(D16:G16)</f>
        <v>11</v>
      </c>
      <c r="I16" s="72"/>
    </row>
    <row r="17" spans="2:9" ht="16">
      <c r="B17" s="66" t="s">
        <v>15</v>
      </c>
      <c r="C17" s="70" t="s">
        <v>27</v>
      </c>
      <c r="D17" s="67">
        <f>COUNTIFS(수정사항관리!$A:$A, "통합 테스트 (1차)", 수정사항관리!$E:$E, "수정")</f>
        <v>0</v>
      </c>
      <c r="E17" s="67">
        <f>COUNTIFS(수정사항관리!$A:$A, "통합 테스트 (1차)", 수정사항관리!$E:$E, "추가")</f>
        <v>0</v>
      </c>
      <c r="F17" s="67">
        <f>COUNTIFS(수정사항관리!$A:$A, "통합 테스트 (1차)", 수정사항관리!$E:$E, "오류")</f>
        <v>8</v>
      </c>
      <c r="G17" s="67">
        <f>COUNTIFS(수정사항관리!$A:$A, "통합 테스트 (1차)", 수정사항관리!$E:$E, "검토")</f>
        <v>0</v>
      </c>
      <c r="H17" s="75">
        <f>SUM(D17:G17)</f>
        <v>8</v>
      </c>
      <c r="I17" s="72"/>
    </row>
    <row r="18" spans="2:9" ht="16">
      <c r="B18" s="66" t="s">
        <v>17</v>
      </c>
      <c r="C18" s="70" t="s">
        <v>28</v>
      </c>
      <c r="D18" s="67">
        <f>COUNTIFS(수정사항관리!$A:$A, "통합 테스트 (2차)", 수정사항관리!$E:$E, "수정")</f>
        <v>0</v>
      </c>
      <c r="E18" s="67">
        <f>COUNTIFS(수정사항관리!$A:$A, "통합 테스트 (2차)", 수정사항관리!$E:$E, "추가")</f>
        <v>0</v>
      </c>
      <c r="F18" s="67">
        <f>COUNTIFS(수정사항관리!$A:$A, "통합 테스트 (2차)", 수정사항관리!$E:$E, "오류")</f>
        <v>0</v>
      </c>
      <c r="G18" s="67">
        <f>COUNTIFS(수정사항관리!$A:$A, "통합 테스트 (2차)", 수정사항관리!$E:$E, "검토")</f>
        <v>0</v>
      </c>
      <c r="H18" s="75">
        <f>SUM(D18:G18)</f>
        <v>0</v>
      </c>
      <c r="I18" s="72"/>
    </row>
    <row r="19" spans="2:9" ht="16.5" thickBot="1">
      <c r="B19" s="66">
        <v>4</v>
      </c>
      <c r="C19" s="70" t="s">
        <v>19</v>
      </c>
      <c r="D19" s="67">
        <f>COUNTIFS(수정사항관리!$A:$A, "Open전 Test", 수정사항관리!$E:$E, "수정")</f>
        <v>0</v>
      </c>
      <c r="E19" s="67">
        <f>COUNTIFS(수정사항관리!$A:$A, "Open전 Test", 수정사항관리!$E:$E, "추가")</f>
        <v>0</v>
      </c>
      <c r="F19" s="67">
        <f>COUNTIFS(수정사항관리!$A:$A, "Open전 Test", 수정사항관리!$E:$E, "오류")</f>
        <v>0</v>
      </c>
      <c r="G19" s="67">
        <f>COUNTIFS(수정사항관리!$A:$A, "Open전 Test", 수정사항관리!$E:$E, "검토")</f>
        <v>0</v>
      </c>
      <c r="H19" s="75">
        <f>SUM(D19:G19)</f>
        <v>0</v>
      </c>
      <c r="I19" s="72"/>
    </row>
    <row r="20" spans="2:9" ht="17.5" thickBot="1">
      <c r="B20" s="73"/>
      <c r="C20" s="73" t="s">
        <v>20</v>
      </c>
      <c r="D20" s="73">
        <f>SUM(D16:D19)</f>
        <v>5</v>
      </c>
      <c r="E20" s="73">
        <f>SUM(E16:E19)</f>
        <v>0</v>
      </c>
      <c r="F20" s="73">
        <f>SUM(F16:F19)</f>
        <v>14</v>
      </c>
      <c r="G20" s="73">
        <f>SUM(G16:G19)</f>
        <v>0</v>
      </c>
      <c r="H20" s="73">
        <f>SUM(H16:H19)</f>
        <v>19</v>
      </c>
      <c r="I20" s="73"/>
    </row>
  </sheetData>
  <mergeCells count="6">
    <mergeCell ref="B14:I14"/>
    <mergeCell ref="B2:I2"/>
    <mergeCell ref="B3:I3"/>
    <mergeCell ref="C4:D4"/>
    <mergeCell ref="F4:G4"/>
    <mergeCell ref="B6:I6"/>
  </mergeCells>
  <phoneticPr fontId="30" type="noConversion"/>
  <hyperlinks>
    <hyperlink ref="C8" location="수정사항관리!A1" display="단위 테스트" xr:uid="{25BF52DE-C5D8-4E64-AD9B-10E823DA026E}"/>
    <hyperlink ref="C9" location="수정사항관리!A1" display="통합 테스트 (1차)" xr:uid="{C6D81C34-4C83-4E26-8B67-ADE91F5F1A5F}"/>
    <hyperlink ref="C11" location="수정사항관리!A1" display="통합 테스트 (2차)" xr:uid="{191ED6D4-8AEE-4EBF-950F-54F7D0E2E4BD}"/>
    <hyperlink ref="C10" location="수정사항관리!A1" display="통합 테스트 (2차)" xr:uid="{0C8D8470-D985-484C-98E8-8DEECE1F98A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5"/>
  <sheetViews>
    <sheetView zoomScaleNormal="100" workbookViewId="0">
      <selection activeCell="N10" sqref="N10"/>
    </sheetView>
  </sheetViews>
  <sheetFormatPr defaultColWidth="8.7265625" defaultRowHeight="14.5"/>
  <cols>
    <col min="1" max="1" width="12" customWidth="1"/>
    <col min="2" max="2" width="38" customWidth="1"/>
    <col min="3" max="7" width="14" customWidth="1"/>
  </cols>
  <sheetData>
    <row r="1" spans="1:7" ht="36" customHeight="1">
      <c r="A1" s="106" t="s">
        <v>343</v>
      </c>
      <c r="B1" s="106"/>
      <c r="C1" s="106"/>
      <c r="D1" s="106"/>
      <c r="E1" s="106"/>
      <c r="F1" s="106"/>
      <c r="G1" s="106"/>
    </row>
    <row r="3" spans="1:7" ht="15" customHeight="1">
      <c r="A3" s="25" t="s">
        <v>0</v>
      </c>
      <c r="B3" s="107" t="s">
        <v>104</v>
      </c>
      <c r="C3" s="107"/>
      <c r="D3" s="107"/>
      <c r="E3" s="25" t="s">
        <v>1</v>
      </c>
      <c r="F3" s="108">
        <v>46313</v>
      </c>
      <c r="G3" s="108"/>
    </row>
    <row r="4" spans="1:7" ht="15" customHeight="1">
      <c r="A4" s="25" t="s">
        <v>29</v>
      </c>
      <c r="B4" s="107" t="s">
        <v>344</v>
      </c>
      <c r="C4" s="107"/>
      <c r="D4" s="107"/>
      <c r="E4" s="25" t="s">
        <v>2</v>
      </c>
      <c r="F4" s="107" t="s">
        <v>105</v>
      </c>
      <c r="G4" s="107"/>
    </row>
    <row r="5" spans="1:7" ht="16">
      <c r="A5" s="25" t="s">
        <v>30</v>
      </c>
      <c r="B5" s="107" t="s">
        <v>106</v>
      </c>
      <c r="C5" s="107"/>
      <c r="D5" s="107"/>
      <c r="E5" s="25" t="s">
        <v>31</v>
      </c>
      <c r="F5" s="107"/>
      <c r="G5" s="107"/>
    </row>
    <row r="7" spans="1:7" ht="24" customHeight="1">
      <c r="A7" s="109" t="s">
        <v>32</v>
      </c>
      <c r="B7" s="109"/>
      <c r="C7" s="109"/>
      <c r="D7" s="109"/>
      <c r="E7" s="109"/>
      <c r="F7" s="109"/>
      <c r="G7" s="109"/>
    </row>
    <row r="8" spans="1:7" ht="27.75" customHeight="1">
      <c r="A8" s="1" t="s">
        <v>33</v>
      </c>
      <c r="B8" s="4" t="s">
        <v>34</v>
      </c>
      <c r="C8" s="4" t="s">
        <v>35</v>
      </c>
      <c r="D8" s="1" t="s">
        <v>36</v>
      </c>
      <c r="E8" s="1" t="s">
        <v>37</v>
      </c>
      <c r="F8" s="1" t="s">
        <v>38</v>
      </c>
      <c r="G8" s="1" t="s">
        <v>39</v>
      </c>
    </row>
    <row r="9" spans="1:7" ht="31.5" customHeight="1">
      <c r="A9" s="26">
        <f>COUNTA('통합테스트 시나리오'!$G$4:$G$272)</f>
        <v>27</v>
      </c>
      <c r="B9" s="27">
        <f>COUNTIF('통합테스트 시나리오'!$M$4:$M$272, "Pass")</f>
        <v>27</v>
      </c>
      <c r="C9" s="28">
        <f>COUNTIF('통합테스트 시나리오'!$M$4:$M$272, "Fail")</f>
        <v>0</v>
      </c>
      <c r="D9" s="29">
        <f>A9-B9-C9</f>
        <v>0</v>
      </c>
      <c r="E9" s="30">
        <f>IFERROR(B9/(B9+C9), 0)</f>
        <v>1</v>
      </c>
      <c r="F9" s="30">
        <f>IFERROR((B9+C9)/A9, 0)</f>
        <v>1</v>
      </c>
      <c r="G9" s="31" t="str">
        <f>IF(F9&lt;1, "진행 중", IF(E9&gt;=0.95, "✓ Pass", IF(E9&gt;=0.8, "△ 조건부", "✗ Fail")))</f>
        <v>✓ Pass</v>
      </c>
    </row>
    <row r="11" spans="1:7" ht="24" customHeight="1">
      <c r="A11" s="109" t="s">
        <v>40</v>
      </c>
      <c r="B11" s="109"/>
      <c r="C11" s="109"/>
      <c r="D11" s="109"/>
      <c r="E11" s="109"/>
      <c r="F11" s="109"/>
      <c r="G11" s="109"/>
    </row>
    <row r="12" spans="1:7" ht="27.75" customHeight="1">
      <c r="A12" s="4" t="s">
        <v>41</v>
      </c>
      <c r="B12" s="1" t="s">
        <v>42</v>
      </c>
      <c r="C12" s="1" t="s">
        <v>33</v>
      </c>
      <c r="D12" s="4" t="s">
        <v>34</v>
      </c>
      <c r="E12" s="4" t="s">
        <v>35</v>
      </c>
      <c r="F12" s="1" t="s">
        <v>36</v>
      </c>
      <c r="G12" s="1" t="s">
        <v>37</v>
      </c>
    </row>
    <row r="13" spans="1:7" ht="24" customHeight="1">
      <c r="A13" s="32" t="s">
        <v>43</v>
      </c>
      <c r="B13" s="2" t="s">
        <v>345</v>
      </c>
      <c r="C13" s="33">
        <f>COUNTIF('통합테스트 시나리오'!$B$4:$B$272, "0")</f>
        <v>1</v>
      </c>
      <c r="D13" s="59">
        <f>COUNTIFS('통합테스트 시나리오'!$B$4:$B$272, "0", '통합테스트 시나리오'!$M$4:$M$272, "Pass")</f>
        <v>1</v>
      </c>
      <c r="E13" s="60">
        <f>COUNTIFS('통합테스트 시나리오'!$B$4:$B$272, "0", '통합테스트 시나리오'!$M$4:$M$272, "Fail")</f>
        <v>0</v>
      </c>
      <c r="F13" s="33">
        <f>C13-D13-E13</f>
        <v>0</v>
      </c>
      <c r="G13" s="61">
        <f>IFERROR(D13/(D13+E13), 0)</f>
        <v>1</v>
      </c>
    </row>
    <row r="14" spans="1:7" ht="24" customHeight="1">
      <c r="A14" s="32" t="s">
        <v>44</v>
      </c>
      <c r="B14" s="2" t="s">
        <v>346</v>
      </c>
      <c r="C14" s="33">
        <f>COUNTIF('통합테스트 시나리오'!$B$4:$B$272, "1")</f>
        <v>7</v>
      </c>
      <c r="D14" s="59">
        <f>COUNTIFS('통합테스트 시나리오'!$B$4:$B$272, "1", '통합테스트 시나리오'!$M$4:$M$272, "Pass")</f>
        <v>7</v>
      </c>
      <c r="E14" s="60">
        <f>COUNTIFS('통합테스트 시나리오'!$B$4:$B$272, "1", '통합테스트 시나리오'!$M$4:$M$272, "Fail")</f>
        <v>0</v>
      </c>
      <c r="F14" s="33">
        <f>C14-D14-E14</f>
        <v>0</v>
      </c>
      <c r="G14" s="61">
        <f>IFERROR(D14/(D14+E14), 0)</f>
        <v>1</v>
      </c>
    </row>
    <row r="15" spans="1:7" ht="24" customHeight="1">
      <c r="A15" s="32" t="s">
        <v>45</v>
      </c>
      <c r="B15" s="2" t="s">
        <v>347</v>
      </c>
      <c r="C15" s="33">
        <f>COUNTIF('통합테스트 시나리오'!$B$4:$B$272, "2")</f>
        <v>6</v>
      </c>
      <c r="D15" s="59">
        <f>COUNTIFS('통합테스트 시나리오'!$B$4:$B$272, "2", '통합테스트 시나리오'!$M$4:$M$272, "Pass")</f>
        <v>6</v>
      </c>
      <c r="E15" s="60">
        <f>COUNTIFS('통합테스트 시나리오'!$B$4:$B$272, "2", '통합테스트 시나리오'!$M$4:$M$272, "Fail")</f>
        <v>0</v>
      </c>
      <c r="F15" s="33">
        <f>C15-D15-E15</f>
        <v>0</v>
      </c>
      <c r="G15" s="61">
        <f>IFERROR(D15/(D15+E15), 0)</f>
        <v>1</v>
      </c>
    </row>
    <row r="16" spans="1:7" ht="24" customHeight="1">
      <c r="A16" s="32" t="s">
        <v>46</v>
      </c>
      <c r="B16" s="2" t="s">
        <v>348</v>
      </c>
      <c r="C16" s="33">
        <f>COUNTIF('통합테스트 시나리오'!$B$4:$B$272, "3")</f>
        <v>6</v>
      </c>
      <c r="D16" s="59">
        <f>COUNTIFS('통합테스트 시나리오'!$B$4:$B$272, "3", '통합테스트 시나리오'!$M$4:$M$272, "Pass")</f>
        <v>6</v>
      </c>
      <c r="E16" s="60">
        <f>COUNTIFS('통합테스트 시나리오'!$B$4:$B$272, "3", '통합테스트 시나리오'!$M$4:$M$272, "Fail")</f>
        <v>0</v>
      </c>
      <c r="F16" s="33">
        <f>C16-D16-E16</f>
        <v>0</v>
      </c>
      <c r="G16" s="61">
        <f>IFERROR(D16/(D16+E16), 0)</f>
        <v>1</v>
      </c>
    </row>
    <row r="17" spans="1:7" ht="24" customHeight="1">
      <c r="A17" s="32" t="s">
        <v>47</v>
      </c>
      <c r="B17" s="2" t="s">
        <v>349</v>
      </c>
      <c r="C17" s="33">
        <f>COUNTIF('통합테스트 시나리오'!$B$4:$B$272, "4")</f>
        <v>7</v>
      </c>
      <c r="D17" s="59">
        <f>COUNTIFS('통합테스트 시나리오'!$B$4:$B$272, "4", '통합테스트 시나리오'!$M$4:$M$272, "Pass")</f>
        <v>7</v>
      </c>
      <c r="E17" s="60">
        <f>COUNTIFS('통합테스트 시나리오'!$B$4:$B$272, "4", '통합테스트 시나리오'!$M$4:$M$272, "Fail")</f>
        <v>0</v>
      </c>
      <c r="F17" s="33">
        <f>C17-D17-E17</f>
        <v>0</v>
      </c>
      <c r="G17" s="61">
        <f>IFERROR(D17/(D17+E17), 0)</f>
        <v>1</v>
      </c>
    </row>
    <row r="19" spans="1:7" ht="24" customHeight="1">
      <c r="A19" s="109" t="s">
        <v>48</v>
      </c>
      <c r="B19" s="109"/>
      <c r="C19" s="109"/>
      <c r="D19" s="109"/>
      <c r="E19" s="109"/>
      <c r="F19" s="109"/>
      <c r="G19" s="109"/>
    </row>
    <row r="20" spans="1:7" ht="27.75" customHeight="1">
      <c r="A20" s="4" t="s">
        <v>49</v>
      </c>
      <c r="B20" s="1" t="s">
        <v>50</v>
      </c>
      <c r="C20" s="1" t="s">
        <v>51</v>
      </c>
      <c r="D20" s="1" t="s">
        <v>33</v>
      </c>
      <c r="E20" s="4" t="s">
        <v>34</v>
      </c>
      <c r="F20" s="4" t="s">
        <v>35</v>
      </c>
      <c r="G20" s="1" t="s">
        <v>37</v>
      </c>
    </row>
    <row r="21" spans="1:7" ht="24" customHeight="1">
      <c r="A21" s="32" t="s">
        <v>291</v>
      </c>
      <c r="B21" s="34" t="s">
        <v>322</v>
      </c>
      <c r="C21" s="33" t="s">
        <v>323</v>
      </c>
      <c r="D21" s="33">
        <f>SUMPRODUCT((ISNUMBER(SEARCH("IF-02-P", '통합테스트 시나리오'!$P$4:$P$272)))*1)</f>
        <v>2</v>
      </c>
      <c r="E21" s="59">
        <f>SUMPRODUCT((ISNUMBER(SEARCH("IF-02-P", '통합테스트 시나리오'!$P$4:$P$272)))*('통합테스트 시나리오'!$M$4:$M$272="Pass"))</f>
        <v>2</v>
      </c>
      <c r="F21" s="60">
        <f>SUMPRODUCT((ISNUMBER(SEARCH("IF-02-P", '통합테스트 시나리오'!$P$4:$P$272)))*('통합테스트 시나리오'!$M$4:$M$272="Fail"))</f>
        <v>0</v>
      </c>
      <c r="G21" s="61">
        <f>IFERROR(E21/(E21+F21), 0)</f>
        <v>1</v>
      </c>
    </row>
    <row r="22" spans="1:7" ht="24" customHeight="1">
      <c r="A22" s="32" t="s">
        <v>299</v>
      </c>
      <c r="B22" s="34" t="s">
        <v>325</v>
      </c>
      <c r="C22" s="33" t="s">
        <v>326</v>
      </c>
      <c r="D22" s="33">
        <f>SUMPRODUCT((ISNUMBER(SEARCH("IF-02-R", '통합테스트 시나리오'!$P$4:$P$272)))*1)</f>
        <v>1</v>
      </c>
      <c r="E22" s="59">
        <f>SUMPRODUCT((ISNUMBER(SEARCH("IF-02-R", '통합테스트 시나리오'!$P$4:$P$272)))*('통합테스트 시나리오'!$M$4:$M$272="Pass"))</f>
        <v>1</v>
      </c>
      <c r="F22" s="60">
        <f>SUMPRODUCT((ISNUMBER(SEARCH("IF-02-R", '통합테스트 시나리오'!$P$4:$P$272)))*('통합테스트 시나리오'!$M$4:$M$272="Fail"))</f>
        <v>0</v>
      </c>
      <c r="G22" s="61">
        <f>IFERROR(E22/(E22+F22), 0)</f>
        <v>1</v>
      </c>
    </row>
    <row r="23" spans="1:7" ht="24" customHeight="1">
      <c r="A23" s="32" t="s">
        <v>189</v>
      </c>
      <c r="B23" s="34" t="s">
        <v>327</v>
      </c>
      <c r="C23" s="33" t="s">
        <v>328</v>
      </c>
      <c r="D23" s="33">
        <f>SUMPRODUCT((ISNUMBER(SEARCH("IF-03", '통합테스트 시나리오'!$P$4:$P$272)))*1)</f>
        <v>4</v>
      </c>
      <c r="E23" s="59">
        <f>SUMPRODUCT((ISNUMBER(SEARCH("IF-03", '통합테스트 시나리오'!$P$4:$P$272)))*('통합테스트 시나리오'!$M$4:$M$272="Pass"))</f>
        <v>4</v>
      </c>
      <c r="F23" s="60">
        <f>SUMPRODUCT((ISNUMBER(SEARCH("IF-03", '통합테스트 시나리오'!$P$4:$P$272)))*('통합테스트 시나리오'!$M$4:$M$272="Fail"))</f>
        <v>0</v>
      </c>
      <c r="G23" s="61">
        <f>IFERROR(E23/(E23+F23), 0)</f>
        <v>1</v>
      </c>
    </row>
    <row r="24" spans="1:7" ht="24" customHeight="1">
      <c r="A24" s="32" t="s">
        <v>307</v>
      </c>
      <c r="B24" s="34" t="s">
        <v>330</v>
      </c>
      <c r="C24" s="33" t="s">
        <v>328</v>
      </c>
      <c r="D24" s="33">
        <f>SUMPRODUCT((ISNUMBER(SEARCH("IF-06", '통합테스트 시나리오'!$P$4:$P$272)))*1)</f>
        <v>2</v>
      </c>
      <c r="E24" s="59">
        <f>SUMPRODUCT((ISNUMBER(SEARCH("IF-06", '통합테스트 시나리오'!$P$4:$P$272)))*('통합테스트 시나리오'!$M$4:$M$272="Pass"))</f>
        <v>2</v>
      </c>
      <c r="F24" s="60">
        <f>SUMPRODUCT((ISNUMBER(SEARCH("IF-06", '통합테스트 시나리오'!$P$4:$P$272)))*('통합테스트 시나리오'!$M$4:$M$272="Fail"))</f>
        <v>0</v>
      </c>
      <c r="G24" s="61">
        <f>IFERROR(E24/(E24+F24), 0)</f>
        <v>1</v>
      </c>
    </row>
    <row r="25" spans="1:7" ht="24" customHeight="1">
      <c r="A25" s="32" t="s">
        <v>267</v>
      </c>
      <c r="B25" s="34" t="s">
        <v>259</v>
      </c>
      <c r="C25" s="33" t="s">
        <v>331</v>
      </c>
      <c r="D25" s="33">
        <f>SUMPRODUCT((ISNUMBER(SEARCH("IF-07", '통합테스트 시나리오'!$P$4:$P$272)))*1)</f>
        <v>1</v>
      </c>
      <c r="E25" s="59">
        <f>SUMPRODUCT((ISNUMBER(SEARCH("IF-07", '통합테스트 시나리오'!$P$4:$P$272)))*('통합테스트 시나리오'!$M$4:$M$272="Pass"))</f>
        <v>1</v>
      </c>
      <c r="F25" s="60">
        <f>SUMPRODUCT((ISNUMBER(SEARCH("IF-07", '통합테스트 시나리오'!$P$4:$P$272)))*('통합테스트 시나리오'!$M$4:$M$272="Fail"))</f>
        <v>0</v>
      </c>
      <c r="G25" s="61">
        <f>IFERROR(E25/(E25+F25), 0)</f>
        <v>1</v>
      </c>
    </row>
    <row r="26" spans="1:7" ht="24" customHeight="1">
      <c r="A26" s="32"/>
      <c r="B26" s="34"/>
      <c r="C26" s="33"/>
      <c r="D26" s="33"/>
      <c r="E26" s="59"/>
      <c r="F26" s="60"/>
      <c r="G26" s="61"/>
    </row>
    <row r="28" spans="1:7" ht="24" customHeight="1">
      <c r="A28" s="109" t="s">
        <v>52</v>
      </c>
      <c r="B28" s="109"/>
      <c r="C28" s="109"/>
      <c r="D28" s="109"/>
      <c r="E28" s="109"/>
      <c r="F28" s="109"/>
      <c r="G28" s="109"/>
    </row>
    <row r="29" spans="1:7" ht="25.5" customHeight="1">
      <c r="A29" s="1" t="s">
        <v>53</v>
      </c>
      <c r="B29" s="1" t="s">
        <v>54</v>
      </c>
      <c r="C29" s="1" t="s">
        <v>55</v>
      </c>
      <c r="D29" s="1" t="s">
        <v>53</v>
      </c>
      <c r="E29" s="1" t="s">
        <v>54</v>
      </c>
      <c r="F29" s="1" t="s">
        <v>55</v>
      </c>
      <c r="G29" s="1"/>
    </row>
    <row r="30" spans="1:7" ht="21.75" customHeight="1">
      <c r="A30" s="25" t="s">
        <v>350</v>
      </c>
      <c r="B30" s="35" t="s">
        <v>101</v>
      </c>
      <c r="C30" s="36">
        <f>COUNTIF(수정사항관리!$E$5:$E$200, "수정")</f>
        <v>5</v>
      </c>
      <c r="D30" s="25" t="s">
        <v>100</v>
      </c>
      <c r="E30" s="35" t="s">
        <v>351</v>
      </c>
      <c r="F30" s="36">
        <f>COUNTIF(수정사항관리!$K$5:$K$200, "진행 중")</f>
        <v>0</v>
      </c>
    </row>
    <row r="31" spans="1:7" ht="21.75" customHeight="1">
      <c r="A31" s="25" t="s">
        <v>350</v>
      </c>
      <c r="B31" s="35" t="s">
        <v>102</v>
      </c>
      <c r="C31" s="36">
        <f>COUNTIF(수정사항관리!$E$5:$E$200, "오류")</f>
        <v>14</v>
      </c>
      <c r="D31" s="25" t="s">
        <v>100</v>
      </c>
      <c r="E31" s="35" t="s">
        <v>14</v>
      </c>
      <c r="F31" s="36">
        <f>COUNTIF(수정사항관리!$K$5:$K$200, "완료")</f>
        <v>19</v>
      </c>
    </row>
    <row r="32" spans="1:7" ht="21.75" customHeight="1">
      <c r="A32" s="25" t="s">
        <v>350</v>
      </c>
      <c r="B32" s="35" t="s">
        <v>352</v>
      </c>
      <c r="C32" s="36">
        <f>COUNTIF(수정사항관리!$E$5:$E$200, "추가")+COUNTIF(수정사항관리!$E$5:$E$200, "검토")</f>
        <v>0</v>
      </c>
      <c r="D32" s="25" t="s">
        <v>100</v>
      </c>
      <c r="E32" s="35" t="s">
        <v>103</v>
      </c>
      <c r="F32" s="36">
        <f>COUNTIF(수정사항관리!$K$5:$K$200, "보류")</f>
        <v>0</v>
      </c>
    </row>
    <row r="33" spans="1:7" ht="25.5" customHeight="1">
      <c r="A33" s="110" t="s">
        <v>353</v>
      </c>
      <c r="B33" s="110"/>
      <c r="C33" s="37">
        <f>COUNTA(수정사항관리!$B$5:$B$200)</f>
        <v>19</v>
      </c>
      <c r="D33" s="110" t="s">
        <v>353</v>
      </c>
      <c r="E33" s="110"/>
      <c r="F33" s="37">
        <f>COUNTA(수정사항관리!$B$5:$B$200)</f>
        <v>19</v>
      </c>
    </row>
    <row r="35" spans="1:7" ht="30" customHeight="1">
      <c r="A35" s="111" t="s">
        <v>56</v>
      </c>
      <c r="B35" s="111"/>
      <c r="C35" s="111"/>
      <c r="D35" s="111"/>
      <c r="E35" s="111"/>
      <c r="F35" s="111"/>
      <c r="G35" s="111"/>
    </row>
  </sheetData>
  <mergeCells count="14">
    <mergeCell ref="A28:G28"/>
    <mergeCell ref="A33:B33"/>
    <mergeCell ref="D33:E33"/>
    <mergeCell ref="A35:G35"/>
    <mergeCell ref="B5:D5"/>
    <mergeCell ref="F5:G5"/>
    <mergeCell ref="A7:G7"/>
    <mergeCell ref="A11:G11"/>
    <mergeCell ref="A19:G19"/>
    <mergeCell ref="A1:G1"/>
    <mergeCell ref="B3:D3"/>
    <mergeCell ref="F3:G3"/>
    <mergeCell ref="B4:D4"/>
    <mergeCell ref="F4:G4"/>
  </mergeCells>
  <phoneticPr fontId="3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7"/>
  <sheetViews>
    <sheetView zoomScaleNormal="100" workbookViewId="0">
      <pane ySplit="3" topLeftCell="A4" activePane="bottomLeft" state="frozen"/>
      <selection activeCell="N10" sqref="N10"/>
      <selection pane="bottomLeft" activeCell="A26" sqref="A26:H26"/>
    </sheetView>
  </sheetViews>
  <sheetFormatPr defaultColWidth="8.7265625" defaultRowHeight="14.5"/>
  <cols>
    <col min="1" max="1" width="12" customWidth="1"/>
    <col min="2" max="2" width="36" customWidth="1"/>
    <col min="3" max="3" width="26" customWidth="1"/>
    <col min="4" max="4" width="12" customWidth="1"/>
    <col min="5" max="6" width="10" customWidth="1"/>
    <col min="7" max="7" width="11" customWidth="1"/>
    <col min="8" max="8" width="12" customWidth="1"/>
  </cols>
  <sheetData>
    <row r="1" spans="1:8" ht="30" customHeight="1">
      <c r="A1" s="112" t="s">
        <v>57</v>
      </c>
      <c r="B1" s="112"/>
      <c r="C1" s="112"/>
      <c r="D1" s="112"/>
      <c r="E1" s="112"/>
      <c r="F1" s="112"/>
      <c r="G1" s="112"/>
      <c r="H1" s="112"/>
    </row>
    <row r="2" spans="1:8" ht="21.75" customHeight="1">
      <c r="A2" s="111" t="s">
        <v>58</v>
      </c>
      <c r="B2" s="111"/>
      <c r="C2" s="111"/>
      <c r="D2" s="111"/>
      <c r="E2" s="111"/>
      <c r="F2" s="111"/>
      <c r="G2" s="111"/>
      <c r="H2" s="111"/>
    </row>
    <row r="3" spans="1:8" ht="30" customHeight="1">
      <c r="A3" s="4" t="s">
        <v>41</v>
      </c>
      <c r="B3" s="1" t="s">
        <v>59</v>
      </c>
      <c r="C3" s="1" t="s">
        <v>60</v>
      </c>
      <c r="D3" s="1" t="s">
        <v>33</v>
      </c>
      <c r="E3" s="4" t="s">
        <v>34</v>
      </c>
      <c r="F3" s="4" t="s">
        <v>35</v>
      </c>
      <c r="G3" s="1" t="s">
        <v>36</v>
      </c>
      <c r="H3" s="1" t="s">
        <v>37</v>
      </c>
    </row>
    <row r="4" spans="1:8" ht="25.5" customHeight="1">
      <c r="A4" s="37" t="s">
        <v>61</v>
      </c>
      <c r="B4" s="38" t="s">
        <v>315</v>
      </c>
      <c r="C4" s="37"/>
      <c r="D4" s="37">
        <f>COUNTIFS('통합테스트 시나리오'!$B$4:$B$272, "0")</f>
        <v>1</v>
      </c>
      <c r="E4" s="37">
        <f>COUNTIFS('통합테스트 시나리오'!$B$4:$B$272, "0", '통합테스트 시나리오'!$M$4:$M$272, "Pass")</f>
        <v>1</v>
      </c>
      <c r="F4" s="37">
        <f>COUNTIFS('통합테스트 시나리오'!$B$4:$B$272, "0", '통합테스트 시나리오'!$M$4:$M$272, "Fail")</f>
        <v>0</v>
      </c>
      <c r="G4" s="37">
        <f>D4-E4-F4</f>
        <v>0</v>
      </c>
      <c r="H4" s="39">
        <f>IFERROR(E4/(E4+F4), 0)</f>
        <v>1</v>
      </c>
    </row>
    <row r="5" spans="1:8" ht="21.75" customHeight="1">
      <c r="A5" s="22">
        <v>1</v>
      </c>
      <c r="B5" s="40" t="s">
        <v>108</v>
      </c>
      <c r="C5" s="41" t="s">
        <v>108</v>
      </c>
      <c r="D5" s="41">
        <f>COUNTIFS('통합테스트 시나리오'!$B$4:$B$272, "0", '통합테스트 시나리오'!$E$4:$E$272, C5)</f>
        <v>1</v>
      </c>
      <c r="E5" s="42">
        <f>COUNTIFS('통합테스트 시나리오'!$B$4:$B$272, "0", '통합테스트 시나리오'!$E$4:$E$272, C5, '통합테스트 시나리오'!$M$4:$M$272, "Pass")</f>
        <v>1</v>
      </c>
      <c r="F5" s="43">
        <f>COUNTIFS('통합테스트 시나리오'!$B$4:$B$272, "0", '통합테스트 시나리오'!$E$4:$E$272, C5, '통합테스트 시나리오'!$M$4:$M$272, "Fail")</f>
        <v>0</v>
      </c>
      <c r="G5" s="62">
        <f>D5-E5-F5</f>
        <v>0</v>
      </c>
      <c r="H5" s="44">
        <f>IFERROR(E5/(E5+F5), 0)</f>
        <v>1</v>
      </c>
    </row>
    <row r="6" spans="1:8" ht="21.75" customHeight="1"/>
    <row r="7" spans="1:8" ht="28">
      <c r="A7" s="37" t="s">
        <v>62</v>
      </c>
      <c r="B7" s="38" t="s">
        <v>316</v>
      </c>
      <c r="C7" s="37"/>
      <c r="D7" s="37">
        <f>COUNTIFS('통합테스트 시나리오'!$B$4:$B$272, "1")</f>
        <v>7</v>
      </c>
      <c r="E7" s="37">
        <f>COUNTIFS('통합테스트 시나리오'!$B$4:$B$272, "1", '통합테스트 시나리오'!$M$4:$M$272, "Pass")</f>
        <v>7</v>
      </c>
      <c r="F7" s="37">
        <f>COUNTIFS('통합테스트 시나리오'!$B$4:$B$272, "1", '통합테스트 시나리오'!$M$4:$M$272, "Fail")</f>
        <v>0</v>
      </c>
      <c r="G7" s="37">
        <f>D7-E7-F7</f>
        <v>0</v>
      </c>
      <c r="H7" s="39">
        <f>IFERROR(E7/(E7+F7), 0)</f>
        <v>1</v>
      </c>
    </row>
    <row r="8" spans="1:8" ht="25.5" customHeight="1">
      <c r="A8" s="22">
        <v>1</v>
      </c>
      <c r="B8" s="40" t="s">
        <v>118</v>
      </c>
      <c r="C8" s="41" t="s">
        <v>118</v>
      </c>
      <c r="D8" s="41">
        <f>COUNTIFS('통합테스트 시나리오'!$B$4:$B$272, "1", '통합테스트 시나리오'!$E$4:$E$272, C8)</f>
        <v>2</v>
      </c>
      <c r="E8" s="42">
        <f>COUNTIFS('통합테스트 시나리오'!$B$4:$B$272, "1", '통합테스트 시나리오'!$E$4:$E$272, C8, '통합테스트 시나리오'!$M$4:$M$272, "Pass")</f>
        <v>2</v>
      </c>
      <c r="F8" s="43">
        <f>COUNTIFS('통합테스트 시나리오'!$B$4:$B$272, "1", '통합테스트 시나리오'!$E$4:$E$272, C8, '통합테스트 시나리오'!$M$4:$M$272, "Fail")</f>
        <v>0</v>
      </c>
      <c r="G8" s="62">
        <f>D8-E8-F8</f>
        <v>0</v>
      </c>
      <c r="H8" s="44">
        <f>IFERROR(E8/(E8+F8), 0)</f>
        <v>1</v>
      </c>
    </row>
    <row r="9" spans="1:8" ht="21.75" customHeight="1">
      <c r="A9" s="22">
        <v>2</v>
      </c>
      <c r="B9" s="40" t="s">
        <v>126</v>
      </c>
      <c r="C9" s="41" t="s">
        <v>126</v>
      </c>
      <c r="D9" s="41">
        <f>COUNTIFS('통합테스트 시나리오'!$B$4:$B$272, "1", '통합테스트 시나리오'!$E$4:$E$272, C9)</f>
        <v>3</v>
      </c>
      <c r="E9" s="42">
        <f>COUNTIFS('통합테스트 시나리오'!$B$4:$B$272, "1", '통합테스트 시나리오'!$E$4:$E$272, C9, '통합테스트 시나리오'!$M$4:$M$272, "Pass")</f>
        <v>3</v>
      </c>
      <c r="F9" s="43">
        <f>COUNTIFS('통합테스트 시나리오'!$B$4:$B$272, "1", '통합테스트 시나리오'!$E$4:$E$272, C9, '통합테스트 시나리오'!$M$4:$M$272, "Fail")</f>
        <v>0</v>
      </c>
      <c r="G9" s="62">
        <f>D9-E9-F9</f>
        <v>0</v>
      </c>
      <c r="H9" s="44">
        <f>IFERROR(E9/(E9+F9), 0)</f>
        <v>1</v>
      </c>
    </row>
    <row r="10" spans="1:8" ht="21.75" customHeight="1">
      <c r="A10" s="22">
        <v>3</v>
      </c>
      <c r="B10" s="40" t="s">
        <v>154</v>
      </c>
      <c r="C10" s="41" t="s">
        <v>154</v>
      </c>
      <c r="D10" s="41">
        <f>COUNTIFS('통합테스트 시나리오'!$B$4:$B$272, "1", '통합테스트 시나리오'!$E$4:$E$272, C10)</f>
        <v>1</v>
      </c>
      <c r="E10" s="42">
        <f>COUNTIFS('통합테스트 시나리오'!$B$4:$B$272, "1", '통합테스트 시나리오'!$E$4:$E$272, C10, '통합테스트 시나리오'!$M$4:$M$272, "Pass")</f>
        <v>1</v>
      </c>
      <c r="F10" s="43">
        <f>COUNTIFS('통합테스트 시나리오'!$B$4:$B$272, "1", '통합테스트 시나리오'!$E$4:$E$272, C10, '통합테스트 시나리오'!$M$4:$M$272, "Fail")</f>
        <v>0</v>
      </c>
      <c r="G10" s="62">
        <f>D10-E10-F10</f>
        <v>0</v>
      </c>
      <c r="H10" s="44">
        <f>IFERROR(E10/(E10+F10), 0)</f>
        <v>1</v>
      </c>
    </row>
    <row r="11" spans="1:8" ht="21.75" customHeight="1">
      <c r="A11" s="22">
        <v>4</v>
      </c>
      <c r="B11" s="40" t="s">
        <v>162</v>
      </c>
      <c r="C11" s="41" t="s">
        <v>162</v>
      </c>
      <c r="D11" s="41">
        <f>COUNTIFS('통합테스트 시나리오'!$B$4:$B$272, "1", '통합테스트 시나리오'!$E$4:$E$272, C11)</f>
        <v>1</v>
      </c>
      <c r="E11" s="42">
        <f>COUNTIFS('통합테스트 시나리오'!$B$4:$B$272, "1", '통합테스트 시나리오'!$E$4:$E$272, C11, '통합테스트 시나리오'!$M$4:$M$272, "Pass")</f>
        <v>1</v>
      </c>
      <c r="F11" s="43">
        <f>COUNTIFS('통합테스트 시나리오'!$B$4:$B$272, "1", '통합테스트 시나리오'!$E$4:$E$272, C11, '통합테스트 시나리오'!$M$4:$M$272, "Fail")</f>
        <v>0</v>
      </c>
      <c r="G11" s="62">
        <f>D11-E11-F11</f>
        <v>0</v>
      </c>
      <c r="H11" s="44">
        <f>IFERROR(E11/(E11+F11), 0)</f>
        <v>1</v>
      </c>
    </row>
    <row r="12" spans="1:8" ht="21.75" customHeight="1"/>
    <row r="13" spans="1:8" ht="21.75" customHeight="1">
      <c r="A13" s="37" t="s">
        <v>63</v>
      </c>
      <c r="B13" s="38" t="s">
        <v>317</v>
      </c>
      <c r="C13" s="37"/>
      <c r="D13" s="37">
        <f>COUNTIFS('통합테스트 시나리오'!$B$4:$B$272, "2")</f>
        <v>6</v>
      </c>
      <c r="E13" s="37">
        <f>COUNTIFS('통합테스트 시나리오'!$B$4:$B$272, "2", '통합테스트 시나리오'!$M$4:$M$272, "Pass")</f>
        <v>6</v>
      </c>
      <c r="F13" s="37">
        <f>COUNTIFS('통합테스트 시나리오'!$B$4:$B$272, "2", '통합테스트 시나리오'!$M$4:$M$272, "Fail")</f>
        <v>0</v>
      </c>
      <c r="G13" s="37">
        <f t="shared" ref="G13:G18" si="0">D13-E13-F13</f>
        <v>0</v>
      </c>
      <c r="H13" s="39">
        <f t="shared" ref="H13:H18" si="1">IFERROR(E13/(E13+F13), 0)</f>
        <v>1</v>
      </c>
    </row>
    <row r="14" spans="1:8" ht="21.75" customHeight="1">
      <c r="A14" s="22">
        <v>1</v>
      </c>
      <c r="B14" s="40" t="s">
        <v>172</v>
      </c>
      <c r="C14" s="41" t="s">
        <v>172</v>
      </c>
      <c r="D14" s="41">
        <f>COUNTIFS('통합테스트 시나리오'!$B$4:$B$272, "2", '통합테스트 시나리오'!$E$4:$E$272, C14)</f>
        <v>1</v>
      </c>
      <c r="E14" s="42">
        <f>COUNTIFS('통합테스트 시나리오'!$B$4:$B$272, "2", '통합테스트 시나리오'!$E$4:$E$272, C14, '통합테스트 시나리오'!$M$4:$M$272, "Pass")</f>
        <v>1</v>
      </c>
      <c r="F14" s="43">
        <f>COUNTIFS('통합테스트 시나리오'!$B$4:$B$272, "2", '통합테스트 시나리오'!$E$4:$E$272, C14, '통합테스트 시나리오'!$M$4:$M$272, "Fail")</f>
        <v>0</v>
      </c>
      <c r="G14" s="62">
        <f t="shared" si="0"/>
        <v>0</v>
      </c>
      <c r="H14" s="44">
        <f t="shared" si="1"/>
        <v>1</v>
      </c>
    </row>
    <row r="15" spans="1:8" ht="21.75" customHeight="1">
      <c r="A15" s="22">
        <v>2</v>
      </c>
      <c r="B15" s="40" t="s">
        <v>180</v>
      </c>
      <c r="C15" s="41" t="s">
        <v>180</v>
      </c>
      <c r="D15" s="41">
        <f>COUNTIFS('통합테스트 시나리오'!$B$4:$B$272, "2", '통합테스트 시나리오'!$E$4:$E$272, C15)</f>
        <v>2</v>
      </c>
      <c r="E15" s="42">
        <f>COUNTIFS('통합테스트 시나리오'!$B$4:$B$272, "2", '통합테스트 시나리오'!$E$4:$E$272, C15, '통합테스트 시나리오'!$M$4:$M$272, "Pass")</f>
        <v>2</v>
      </c>
      <c r="F15" s="43">
        <f>COUNTIFS('통합테스트 시나리오'!$B$4:$B$272, "2", '통합테스트 시나리오'!$E$4:$E$272, C15, '통합테스트 시나리오'!$M$4:$M$272, "Fail")</f>
        <v>0</v>
      </c>
      <c r="G15" s="62">
        <f t="shared" si="0"/>
        <v>0</v>
      </c>
      <c r="H15" s="44">
        <f t="shared" si="1"/>
        <v>1</v>
      </c>
    </row>
    <row r="16" spans="1:8" ht="21.75" customHeight="1">
      <c r="A16" s="22">
        <v>3</v>
      </c>
      <c r="B16" s="40" t="s">
        <v>192</v>
      </c>
      <c r="C16" s="41" t="s">
        <v>192</v>
      </c>
      <c r="D16" s="41">
        <f>COUNTIFS('통합테스트 시나리오'!$B$4:$B$272, "2", '통합테스트 시나리오'!$E$4:$E$272, C16)</f>
        <v>1</v>
      </c>
      <c r="E16" s="42">
        <f>COUNTIFS('통합테스트 시나리오'!$B$4:$B$272, "2", '통합테스트 시나리오'!$E$4:$E$272, C16, '통합테스트 시나리오'!$M$4:$M$272, "Pass")</f>
        <v>1</v>
      </c>
      <c r="F16" s="43">
        <f>COUNTIFS('통합테스트 시나리오'!$B$4:$B$272, "2", '통합테스트 시나리오'!$E$4:$E$272, C16, '통합테스트 시나리오'!$M$4:$M$272, "Fail")</f>
        <v>0</v>
      </c>
      <c r="G16" s="62">
        <f t="shared" si="0"/>
        <v>0</v>
      </c>
      <c r="H16" s="44">
        <f t="shared" si="1"/>
        <v>1</v>
      </c>
    </row>
    <row r="17" spans="1:8" ht="21.75" customHeight="1">
      <c r="A17" s="22">
        <v>4</v>
      </c>
      <c r="B17" s="40" t="s">
        <v>200</v>
      </c>
      <c r="C17" s="41" t="s">
        <v>200</v>
      </c>
      <c r="D17" s="41">
        <f>COUNTIFS('통합테스트 시나리오'!$B$4:$B$272, "2", '통합테스트 시나리오'!$E$4:$E$272, C17)</f>
        <v>1</v>
      </c>
      <c r="E17" s="42">
        <f>COUNTIFS('통합테스트 시나리오'!$B$4:$B$272, "2", '통합테스트 시나리오'!$E$4:$E$272, C17, '통합테스트 시나리오'!$M$4:$M$272, "Pass")</f>
        <v>1</v>
      </c>
      <c r="F17" s="43">
        <f>COUNTIFS('통합테스트 시나리오'!$B$4:$B$272, "2", '통합테스트 시나리오'!$E$4:$E$272, C17, '통합테스트 시나리오'!$M$4:$M$272, "Fail")</f>
        <v>0</v>
      </c>
      <c r="G17" s="62">
        <f t="shared" si="0"/>
        <v>0</v>
      </c>
      <c r="H17" s="44">
        <f t="shared" si="1"/>
        <v>1</v>
      </c>
    </row>
    <row r="18" spans="1:8" ht="21.75" customHeight="1">
      <c r="A18" s="22">
        <v>5</v>
      </c>
      <c r="B18" s="40" t="s">
        <v>208</v>
      </c>
      <c r="C18" s="41" t="s">
        <v>208</v>
      </c>
      <c r="D18" s="41">
        <f>COUNTIFS('통합테스트 시나리오'!$B$4:$B$272, "2", '통합테스트 시나리오'!$E$4:$E$272, C18)</f>
        <v>1</v>
      </c>
      <c r="E18" s="42">
        <f>COUNTIFS('통합테스트 시나리오'!$B$4:$B$272, "2", '통합테스트 시나리오'!$E$4:$E$272, C18, '통합테스트 시나리오'!$M$4:$M$272, "Pass")</f>
        <v>1</v>
      </c>
      <c r="F18" s="43">
        <f>COUNTIFS('통합테스트 시나리오'!$B$4:$B$272, "2", '통합테스트 시나리오'!$E$4:$E$272, C18, '통합테스트 시나리오'!$M$4:$M$272, "Fail")</f>
        <v>0</v>
      </c>
      <c r="G18" s="62">
        <f t="shared" si="0"/>
        <v>0</v>
      </c>
      <c r="H18" s="44">
        <f t="shared" si="1"/>
        <v>1</v>
      </c>
    </row>
    <row r="19" spans="1:8" ht="21.75" customHeight="1"/>
    <row r="20" spans="1:8" ht="21.75" customHeight="1">
      <c r="A20" s="37" t="s">
        <v>64</v>
      </c>
      <c r="B20" s="38" t="s">
        <v>318</v>
      </c>
      <c r="C20" s="37"/>
      <c r="D20" s="37">
        <f>COUNTIFS('통합테스트 시나리오'!$B$4:$B$272, "3")</f>
        <v>6</v>
      </c>
      <c r="E20" s="37">
        <f>COUNTIFS('통합테스트 시나리오'!$B$4:$B$272, "3", '통합테스트 시나리오'!$M$4:$M$272, "Pass")</f>
        <v>6</v>
      </c>
      <c r="F20" s="37">
        <f>COUNTIFS('통합테스트 시나리오'!$B$4:$B$272, "3", '통합테스트 시나리오'!$M$4:$M$272, "Fail")</f>
        <v>0</v>
      </c>
      <c r="G20" s="37">
        <f>D20-E20-F20</f>
        <v>0</v>
      </c>
      <c r="H20" s="39">
        <f>IFERROR(E20/(E20+F20), 0)</f>
        <v>1</v>
      </c>
    </row>
    <row r="21" spans="1:8" ht="21.75" customHeight="1">
      <c r="A21" s="22">
        <v>1</v>
      </c>
      <c r="B21" s="40" t="s">
        <v>218</v>
      </c>
      <c r="C21" s="41" t="s">
        <v>218</v>
      </c>
      <c r="D21" s="41">
        <f>COUNTIFS('통합테스트 시나리오'!$B$4:$B$272, "3", '통합테스트 시나리오'!$E$4:$E$272, C21)</f>
        <v>3</v>
      </c>
      <c r="E21" s="42">
        <f>COUNTIFS('통합테스트 시나리오'!$B$4:$B$272, "3", '통합테스트 시나리오'!$E$4:$E$272, C21, '통합테스트 시나리오'!$M$4:$M$272, "Pass")</f>
        <v>3</v>
      </c>
      <c r="F21" s="43">
        <f>COUNTIFS('통합테스트 시나리오'!$B$4:$B$272, "3", '통합테스트 시나리오'!$E$4:$E$272, C21, '통합테스트 시나리오'!$M$4:$M$272, "Fail")</f>
        <v>0</v>
      </c>
      <c r="G21" s="62">
        <f>D21-E21-F21</f>
        <v>0</v>
      </c>
      <c r="H21" s="44">
        <f>IFERROR(E21/(E21+F21), 0)</f>
        <v>1</v>
      </c>
    </row>
    <row r="22" spans="1:8" ht="21.75" customHeight="1">
      <c r="A22" s="22">
        <v>2</v>
      </c>
      <c r="B22" s="40" t="s">
        <v>233</v>
      </c>
      <c r="C22" s="41" t="s">
        <v>233</v>
      </c>
      <c r="D22" s="41">
        <f>COUNTIFS('통합테스트 시나리오'!$B$4:$B$272, "3", '통합테스트 시나리오'!$E$4:$E$272, C22)</f>
        <v>3</v>
      </c>
      <c r="E22" s="42">
        <f>COUNTIFS('통합테스트 시나리오'!$B$4:$B$272, "3", '통합테스트 시나리오'!$E$4:$E$272, C22, '통합테스트 시나리오'!$M$4:$M$272, "Pass")</f>
        <v>3</v>
      </c>
      <c r="F22" s="43">
        <f>COUNTIFS('통합테스트 시나리오'!$B$4:$B$272, "3", '통합테스트 시나리오'!$E$4:$E$272, C22, '통합테스트 시나리오'!$M$4:$M$272, "Fail")</f>
        <v>0</v>
      </c>
      <c r="G22" s="62">
        <f>D22-E22-F22</f>
        <v>0</v>
      </c>
      <c r="H22" s="44">
        <f>IFERROR(E22/(E22+F22), 0)</f>
        <v>1</v>
      </c>
    </row>
    <row r="23" spans="1:8" ht="21.75" customHeight="1"/>
    <row r="24" spans="1:8" ht="21.75" customHeight="1">
      <c r="A24" s="37" t="s">
        <v>65</v>
      </c>
      <c r="B24" s="38" t="s">
        <v>319</v>
      </c>
      <c r="C24" s="37"/>
      <c r="D24" s="37">
        <f>COUNTIFS('통합테스트 시나리오'!$B$4:$B$272, "4")</f>
        <v>7</v>
      </c>
      <c r="E24" s="37">
        <f>COUNTIFS('통합테스트 시나리오'!$B$4:$B$272, "4", '통합테스트 시나리오'!$M$4:$M$272, "Pass")</f>
        <v>7</v>
      </c>
      <c r="F24" s="37">
        <f>COUNTIFS('통합테스트 시나리오'!$B$4:$B$272, "4", '통합테스트 시나리오'!$M$4:$M$272, "Fail")</f>
        <v>0</v>
      </c>
      <c r="G24" s="37">
        <f>D24-E24-F24</f>
        <v>0</v>
      </c>
      <c r="H24" s="39">
        <f>IFERROR(E24/(E24+F24), 0)</f>
        <v>1</v>
      </c>
    </row>
    <row r="25" spans="1:8" ht="21.75" customHeight="1">
      <c r="A25" s="22">
        <v>1</v>
      </c>
      <c r="B25" s="40" t="s">
        <v>259</v>
      </c>
      <c r="C25" s="41" t="s">
        <v>259</v>
      </c>
      <c r="D25" s="41">
        <f>COUNTIFS('통합테스트 시나리오'!$B$4:$B$272, "4", '통합테스트 시나리오'!$E$4:$E$272, C25)</f>
        <v>1</v>
      </c>
      <c r="E25" s="42">
        <f>COUNTIFS('통합테스트 시나리오'!$B$4:$B$272, "4", '통합테스트 시나리오'!$E$4:$E$272, C25, '통합테스트 시나리오'!$M$4:$M$272, "Pass")</f>
        <v>1</v>
      </c>
      <c r="F25" s="43">
        <f>COUNTIFS('통합테스트 시나리오'!$B$4:$B$272, "4", '통합테스트 시나리오'!$E$4:$E$272, C25, '통합테스트 시나리오'!$M$4:$M$272, "Fail")</f>
        <v>0</v>
      </c>
      <c r="G25" s="62">
        <f>D25-E25-F25</f>
        <v>0</v>
      </c>
      <c r="H25" s="44">
        <f>IFERROR(E25/(E25+F25), 0)</f>
        <v>1</v>
      </c>
    </row>
    <row r="26" spans="1:8" ht="21.75" customHeight="1">
      <c r="A26" s="22">
        <v>2</v>
      </c>
      <c r="B26" s="40" t="s">
        <v>268</v>
      </c>
      <c r="C26" s="41" t="s">
        <v>268</v>
      </c>
      <c r="D26" s="41">
        <f>COUNTIFS('통합테스트 시나리오'!$B$4:$B$272, "4", '통합테스트 시나리오'!$E$4:$E$272, C26)</f>
        <v>6</v>
      </c>
      <c r="E26" s="42">
        <f>COUNTIFS('통합테스트 시나리오'!$B$4:$B$272, "4", '통합테스트 시나리오'!$E$4:$E$272, C26, '통합테스트 시나리오'!$M$4:$M$272, "Pass")</f>
        <v>6</v>
      </c>
      <c r="F26" s="43">
        <f>COUNTIFS('통합테스트 시나리오'!$B$4:$B$272, "4", '통합테스트 시나리오'!$E$4:$E$272, C26, '통합테스트 시나리오'!$M$4:$M$272, "Fail")</f>
        <v>0</v>
      </c>
      <c r="G26" s="62">
        <f>D26-E26-F26</f>
        <v>0</v>
      </c>
      <c r="H26" s="44">
        <f>IFERROR(E26/(E26+F26), 0)</f>
        <v>1</v>
      </c>
    </row>
    <row r="27" spans="1:8" ht="21.75" customHeight="1"/>
    <row r="28" spans="1:8" ht="21.75" customHeight="1"/>
    <row r="29" spans="1:8" ht="21.75" customHeight="1"/>
    <row r="31" spans="1:8" ht="25.5" customHeight="1"/>
    <row r="32" spans="1:8" ht="21.75" customHeight="1"/>
    <row r="33" ht="21.75" customHeight="1"/>
    <row r="34" ht="21.75" customHeight="1"/>
    <row r="35" ht="21.75" customHeight="1"/>
    <row r="37" ht="25.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  <row r="72" ht="25.5" customHeight="1"/>
    <row r="73" ht="21.75" customHeight="1"/>
    <row r="74" ht="21.75" customHeight="1"/>
    <row r="75" ht="21.75" customHeight="1"/>
    <row r="76" ht="21.75" customHeight="1"/>
    <row r="77" ht="21.75" customHeight="1"/>
  </sheetData>
  <mergeCells count="2">
    <mergeCell ref="A1:H1"/>
    <mergeCell ref="A2:H2"/>
  </mergeCells>
  <phoneticPr fontId="3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272"/>
  <sheetViews>
    <sheetView zoomScale="85" zoomScaleNormal="85" workbookViewId="0">
      <pane ySplit="3" topLeftCell="A14" activePane="bottomLeft" state="frozen"/>
      <selection activeCell="C1" sqref="C1"/>
      <selection pane="bottomLeft" activeCell="B35" sqref="B35:P35"/>
    </sheetView>
  </sheetViews>
  <sheetFormatPr defaultColWidth="8.7265625" defaultRowHeight="17"/>
  <cols>
    <col min="1" max="1" width="3.7265625" style="8" customWidth="1"/>
    <col min="2" max="4" width="6" style="9" customWidth="1"/>
    <col min="5" max="5" width="29.54296875" style="8" customWidth="1"/>
    <col min="6" max="6" width="38.54296875" style="8" customWidth="1"/>
    <col min="7" max="7" width="18" style="8" customWidth="1"/>
    <col min="8" max="8" width="36.26953125" style="8" customWidth="1"/>
    <col min="9" max="9" width="32.453125" style="8" customWidth="1"/>
    <col min="10" max="10" width="47.54296875" style="8" customWidth="1"/>
    <col min="11" max="11" width="59.7265625" style="8" customWidth="1"/>
    <col min="12" max="12" width="18" style="8" customWidth="1"/>
    <col min="13" max="13" width="12" style="8" customWidth="1"/>
    <col min="14" max="14" width="11" style="8" customWidth="1"/>
    <col min="15" max="16" width="17.1796875" style="8" customWidth="1"/>
    <col min="17" max="16384" width="8.7265625" style="8"/>
  </cols>
  <sheetData>
    <row r="1" spans="2:16" ht="16.5" customHeight="1">
      <c r="B1" s="10" t="s">
        <v>66</v>
      </c>
      <c r="C1" s="10"/>
      <c r="D1" s="10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</row>
    <row r="2" spans="2:16" ht="24" customHeight="1">
      <c r="B2" s="11" t="s">
        <v>0</v>
      </c>
      <c r="C2" s="11"/>
      <c r="D2" s="11"/>
      <c r="E2" s="12" t="s">
        <v>104</v>
      </c>
      <c r="G2" s="13" t="s">
        <v>1</v>
      </c>
      <c r="H2" s="98">
        <v>46313</v>
      </c>
      <c r="J2" s="13" t="s">
        <v>67</v>
      </c>
      <c r="K2" s="14" t="s">
        <v>105</v>
      </c>
      <c r="M2" s="13" t="s">
        <v>30</v>
      </c>
      <c r="N2" s="14" t="s">
        <v>106</v>
      </c>
    </row>
    <row r="3" spans="2:16" ht="27" customHeight="1">
      <c r="B3" s="15" t="s">
        <v>41</v>
      </c>
      <c r="C3" s="15" t="s">
        <v>68</v>
      </c>
      <c r="D3" s="15" t="s">
        <v>4</v>
      </c>
      <c r="E3" s="16" t="s">
        <v>69</v>
      </c>
      <c r="F3" s="16" t="s">
        <v>70</v>
      </c>
      <c r="G3" s="16" t="s">
        <v>71</v>
      </c>
      <c r="H3" s="16" t="s">
        <v>72</v>
      </c>
      <c r="I3" s="16" t="s">
        <v>73</v>
      </c>
      <c r="J3" s="1" t="s">
        <v>74</v>
      </c>
      <c r="K3" s="16" t="s">
        <v>75</v>
      </c>
      <c r="L3" s="46" t="s">
        <v>76</v>
      </c>
      <c r="M3" s="17" t="s">
        <v>77</v>
      </c>
      <c r="N3" s="16" t="s">
        <v>78</v>
      </c>
      <c r="O3" s="46" t="s">
        <v>79</v>
      </c>
      <c r="P3" s="17" t="s">
        <v>80</v>
      </c>
    </row>
    <row r="4" spans="2:16" ht="17.5">
      <c r="B4" s="18"/>
      <c r="C4" s="18"/>
      <c r="D4" s="19" t="s">
        <v>107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2:16" ht="87">
      <c r="B5" s="21">
        <v>0</v>
      </c>
      <c r="C5" s="21"/>
      <c r="D5" s="21">
        <v>1</v>
      </c>
      <c r="E5" s="7" t="s">
        <v>108</v>
      </c>
      <c r="F5" s="7" t="s">
        <v>109</v>
      </c>
      <c r="G5" s="22" t="s">
        <v>110</v>
      </c>
      <c r="H5" s="7" t="s">
        <v>111</v>
      </c>
      <c r="I5" s="7" t="s">
        <v>112</v>
      </c>
      <c r="J5" s="7" t="s">
        <v>113</v>
      </c>
      <c r="K5" s="7" t="s">
        <v>114</v>
      </c>
      <c r="L5" s="22" t="s">
        <v>115</v>
      </c>
      <c r="M5" s="6" t="s">
        <v>34</v>
      </c>
      <c r="N5" s="22" t="s">
        <v>106</v>
      </c>
      <c r="O5" s="22" t="s">
        <v>116</v>
      </c>
      <c r="P5" s="22"/>
    </row>
    <row r="6" spans="2:16" ht="17.5">
      <c r="B6" s="18"/>
      <c r="C6" s="18"/>
      <c r="D6" s="19" t="s">
        <v>117</v>
      </c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spans="2:16" ht="192.5">
      <c r="B7" s="18">
        <v>1</v>
      </c>
      <c r="C7" s="18"/>
      <c r="D7" s="19">
        <v>2</v>
      </c>
      <c r="E7" s="20" t="s">
        <v>118</v>
      </c>
      <c r="F7" s="20" t="s">
        <v>119</v>
      </c>
      <c r="G7" s="20" t="s">
        <v>120</v>
      </c>
      <c r="H7" s="20" t="s">
        <v>121</v>
      </c>
      <c r="I7" s="20" t="s">
        <v>122</v>
      </c>
      <c r="J7" s="20" t="s">
        <v>123</v>
      </c>
      <c r="K7" s="20" t="s">
        <v>124</v>
      </c>
      <c r="L7" s="20" t="s">
        <v>125</v>
      </c>
      <c r="M7" s="20" t="s">
        <v>34</v>
      </c>
      <c r="N7" s="20" t="s">
        <v>106</v>
      </c>
      <c r="O7" s="20"/>
      <c r="P7" s="20"/>
    </row>
    <row r="8" spans="2:16" ht="122.5">
      <c r="B8" s="18">
        <v>1</v>
      </c>
      <c r="C8" s="18"/>
      <c r="D8" s="19">
        <v>3</v>
      </c>
      <c r="E8" s="20" t="s">
        <v>126</v>
      </c>
      <c r="F8" s="20" t="s">
        <v>127</v>
      </c>
      <c r="G8" s="20" t="s">
        <v>128</v>
      </c>
      <c r="H8" s="20" t="s">
        <v>129</v>
      </c>
      <c r="I8" s="20" t="s">
        <v>130</v>
      </c>
      <c r="J8" s="20" t="s">
        <v>131</v>
      </c>
      <c r="K8" s="20" t="s">
        <v>132</v>
      </c>
      <c r="L8" s="20" t="s">
        <v>133</v>
      </c>
      <c r="M8" s="20" t="s">
        <v>34</v>
      </c>
      <c r="N8" s="20" t="s">
        <v>106</v>
      </c>
      <c r="O8" s="20"/>
      <c r="P8" s="20"/>
    </row>
    <row r="9" spans="2:16" ht="192.5">
      <c r="B9" s="18">
        <v>1</v>
      </c>
      <c r="C9" s="18"/>
      <c r="D9" s="19">
        <v>4</v>
      </c>
      <c r="E9" s="20" t="s">
        <v>126</v>
      </c>
      <c r="F9" s="20" t="s">
        <v>134</v>
      </c>
      <c r="G9" s="20" t="s">
        <v>135</v>
      </c>
      <c r="H9" s="20" t="s">
        <v>136</v>
      </c>
      <c r="I9" s="20" t="s">
        <v>137</v>
      </c>
      <c r="J9" s="20" t="s">
        <v>138</v>
      </c>
      <c r="K9" s="20" t="s">
        <v>139</v>
      </c>
      <c r="L9" s="20" t="s">
        <v>140</v>
      </c>
      <c r="M9" s="20" t="s">
        <v>34</v>
      </c>
      <c r="N9" s="20" t="s">
        <v>106</v>
      </c>
      <c r="O9" s="20"/>
      <c r="P9" s="20"/>
    </row>
    <row r="10" spans="2:16" ht="140">
      <c r="B10" s="18">
        <v>1</v>
      </c>
      <c r="C10" s="18"/>
      <c r="D10" s="19">
        <v>5</v>
      </c>
      <c r="E10" s="20" t="s">
        <v>126</v>
      </c>
      <c r="F10" s="20" t="s">
        <v>141</v>
      </c>
      <c r="G10" s="20" t="s">
        <v>142</v>
      </c>
      <c r="H10" s="20" t="s">
        <v>143</v>
      </c>
      <c r="I10" s="20" t="s">
        <v>144</v>
      </c>
      <c r="J10" s="20" t="s">
        <v>138</v>
      </c>
      <c r="K10" s="20" t="s">
        <v>145</v>
      </c>
      <c r="L10" s="20" t="s">
        <v>146</v>
      </c>
      <c r="M10" s="20" t="s">
        <v>34</v>
      </c>
      <c r="N10" s="20" t="s">
        <v>106</v>
      </c>
      <c r="O10" s="20"/>
      <c r="P10" s="20"/>
    </row>
    <row r="11" spans="2:16" ht="87.5">
      <c r="B11" s="18">
        <v>1</v>
      </c>
      <c r="C11" s="18"/>
      <c r="D11" s="19">
        <v>6</v>
      </c>
      <c r="E11" s="20" t="s">
        <v>118</v>
      </c>
      <c r="F11" s="20" t="s">
        <v>147</v>
      </c>
      <c r="G11" s="20" t="s">
        <v>148</v>
      </c>
      <c r="H11" s="20" t="s">
        <v>149</v>
      </c>
      <c r="I11" s="20" t="s">
        <v>150</v>
      </c>
      <c r="J11" s="20" t="s">
        <v>151</v>
      </c>
      <c r="K11" s="20" t="s">
        <v>152</v>
      </c>
      <c r="L11" s="20" t="s">
        <v>153</v>
      </c>
      <c r="M11" s="20" t="s">
        <v>34</v>
      </c>
      <c r="N11" s="20" t="s">
        <v>106</v>
      </c>
      <c r="O11" s="20"/>
      <c r="P11" s="20"/>
    </row>
    <row r="12" spans="2:16" ht="175">
      <c r="B12" s="18">
        <v>1</v>
      </c>
      <c r="C12" s="18"/>
      <c r="D12" s="19">
        <v>7</v>
      </c>
      <c r="E12" s="20" t="s">
        <v>154</v>
      </c>
      <c r="F12" s="20" t="s">
        <v>155</v>
      </c>
      <c r="G12" s="20" t="s">
        <v>156</v>
      </c>
      <c r="H12" s="20" t="s">
        <v>157</v>
      </c>
      <c r="I12" s="20" t="s">
        <v>158</v>
      </c>
      <c r="J12" s="20" t="s">
        <v>159</v>
      </c>
      <c r="K12" s="20" t="s">
        <v>160</v>
      </c>
      <c r="L12" s="20" t="s">
        <v>161</v>
      </c>
      <c r="M12" s="20" t="s">
        <v>34</v>
      </c>
      <c r="N12" s="20" t="s">
        <v>106</v>
      </c>
      <c r="O12" s="20"/>
      <c r="P12" s="20"/>
    </row>
    <row r="13" spans="2:16" ht="210">
      <c r="B13" s="18">
        <v>1</v>
      </c>
      <c r="C13" s="18"/>
      <c r="D13" s="19">
        <v>8</v>
      </c>
      <c r="E13" s="20" t="s">
        <v>162</v>
      </c>
      <c r="F13" s="20" t="s">
        <v>163</v>
      </c>
      <c r="G13" s="20" t="s">
        <v>164</v>
      </c>
      <c r="H13" s="20" t="s">
        <v>165</v>
      </c>
      <c r="I13" s="20" t="s">
        <v>166</v>
      </c>
      <c r="J13" s="20" t="s">
        <v>167</v>
      </c>
      <c r="K13" s="20" t="s">
        <v>168</v>
      </c>
      <c r="L13" s="20" t="s">
        <v>169</v>
      </c>
      <c r="M13" s="20" t="s">
        <v>34</v>
      </c>
      <c r="N13" s="20" t="s">
        <v>106</v>
      </c>
      <c r="O13" s="20" t="s">
        <v>170</v>
      </c>
      <c r="P13" s="20"/>
    </row>
    <row r="14" spans="2:16" ht="17.5">
      <c r="B14" s="18"/>
      <c r="C14" s="18"/>
      <c r="D14" s="19" t="s">
        <v>171</v>
      </c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</row>
    <row r="15" spans="2:16" ht="175">
      <c r="B15" s="18">
        <v>2</v>
      </c>
      <c r="C15" s="18"/>
      <c r="D15" s="19">
        <v>9</v>
      </c>
      <c r="E15" s="20" t="s">
        <v>172</v>
      </c>
      <c r="F15" s="20" t="s">
        <v>173</v>
      </c>
      <c r="G15" s="20" t="s">
        <v>174</v>
      </c>
      <c r="H15" s="20" t="s">
        <v>175</v>
      </c>
      <c r="I15" s="20" t="s">
        <v>176</v>
      </c>
      <c r="J15" s="20" t="s">
        <v>177</v>
      </c>
      <c r="K15" s="20" t="s">
        <v>178</v>
      </c>
      <c r="L15" s="20" t="s">
        <v>179</v>
      </c>
      <c r="M15" s="20" t="s">
        <v>34</v>
      </c>
      <c r="N15" s="20" t="s">
        <v>106</v>
      </c>
      <c r="O15" s="20"/>
      <c r="P15" s="20"/>
    </row>
    <row r="16" spans="2:16" ht="157.5">
      <c r="B16" s="18">
        <v>2</v>
      </c>
      <c r="C16" s="18"/>
      <c r="D16" s="19">
        <v>10</v>
      </c>
      <c r="E16" s="20" t="s">
        <v>180</v>
      </c>
      <c r="F16" s="20" t="s">
        <v>181</v>
      </c>
      <c r="G16" s="20" t="s">
        <v>182</v>
      </c>
      <c r="H16" s="20" t="s">
        <v>183</v>
      </c>
      <c r="I16" s="20" t="s">
        <v>184</v>
      </c>
      <c r="J16" s="20" t="s">
        <v>185</v>
      </c>
      <c r="K16" s="20" t="s">
        <v>186</v>
      </c>
      <c r="L16" s="20" t="s">
        <v>187</v>
      </c>
      <c r="M16" s="20" t="s">
        <v>34</v>
      </c>
      <c r="N16" s="20" t="s">
        <v>106</v>
      </c>
      <c r="O16" s="20" t="s">
        <v>188</v>
      </c>
      <c r="P16" s="20" t="s">
        <v>189</v>
      </c>
    </row>
    <row r="17" spans="2:16" ht="245">
      <c r="B17" s="18">
        <v>2</v>
      </c>
      <c r="C17" s="18"/>
      <c r="D17" s="19">
        <v>11</v>
      </c>
      <c r="E17" s="20" t="s">
        <v>180</v>
      </c>
      <c r="F17" s="20" t="s">
        <v>190</v>
      </c>
      <c r="G17" s="20" t="s">
        <v>191</v>
      </c>
      <c r="H17" s="20" t="s">
        <v>417</v>
      </c>
      <c r="I17" s="20" t="s">
        <v>416</v>
      </c>
      <c r="J17" s="20" t="s">
        <v>415</v>
      </c>
      <c r="K17" s="20" t="s">
        <v>414</v>
      </c>
      <c r="L17" s="20" t="s">
        <v>413</v>
      </c>
      <c r="M17" s="20" t="s">
        <v>34</v>
      </c>
      <c r="N17" s="20" t="s">
        <v>106</v>
      </c>
      <c r="O17" s="20"/>
      <c r="P17" s="20" t="s">
        <v>307</v>
      </c>
    </row>
    <row r="18" spans="2:16" ht="280">
      <c r="B18" s="18">
        <v>2</v>
      </c>
      <c r="C18" s="18"/>
      <c r="D18" s="19">
        <v>12</v>
      </c>
      <c r="E18" s="20" t="s">
        <v>192</v>
      </c>
      <c r="F18" s="20" t="s">
        <v>193</v>
      </c>
      <c r="G18" s="20" t="s">
        <v>194</v>
      </c>
      <c r="H18" s="20" t="s">
        <v>195</v>
      </c>
      <c r="I18" s="20" t="s">
        <v>196</v>
      </c>
      <c r="J18" s="20" t="s">
        <v>197</v>
      </c>
      <c r="K18" s="20" t="s">
        <v>198</v>
      </c>
      <c r="L18" s="20" t="s">
        <v>199</v>
      </c>
      <c r="M18" s="20" t="s">
        <v>34</v>
      </c>
      <c r="N18" s="20" t="s">
        <v>106</v>
      </c>
      <c r="O18" s="20" t="s">
        <v>188</v>
      </c>
      <c r="P18" s="20" t="s">
        <v>189</v>
      </c>
    </row>
    <row r="19" spans="2:16" ht="315">
      <c r="B19" s="18">
        <v>2</v>
      </c>
      <c r="C19" s="18"/>
      <c r="D19" s="19">
        <v>13</v>
      </c>
      <c r="E19" s="20" t="s">
        <v>200</v>
      </c>
      <c r="F19" s="20" t="s">
        <v>201</v>
      </c>
      <c r="G19" s="20" t="s">
        <v>202</v>
      </c>
      <c r="H19" s="20" t="s">
        <v>203</v>
      </c>
      <c r="I19" s="20" t="s">
        <v>204</v>
      </c>
      <c r="J19" s="20" t="s">
        <v>205</v>
      </c>
      <c r="K19" s="20" t="s">
        <v>206</v>
      </c>
      <c r="L19" s="20" t="s">
        <v>207</v>
      </c>
      <c r="M19" s="20" t="s">
        <v>34</v>
      </c>
      <c r="N19" s="20" t="s">
        <v>106</v>
      </c>
      <c r="O19" s="20"/>
      <c r="P19" s="20"/>
    </row>
    <row r="20" spans="2:16" ht="210">
      <c r="B20" s="18">
        <v>2</v>
      </c>
      <c r="C20" s="18"/>
      <c r="D20" s="19">
        <v>14</v>
      </c>
      <c r="E20" s="20" t="s">
        <v>208</v>
      </c>
      <c r="F20" s="20" t="s">
        <v>209</v>
      </c>
      <c r="G20" s="20" t="s">
        <v>210</v>
      </c>
      <c r="H20" s="20" t="s">
        <v>211</v>
      </c>
      <c r="I20" s="20" t="s">
        <v>212</v>
      </c>
      <c r="J20" s="20" t="s">
        <v>213</v>
      </c>
      <c r="K20" s="20" t="s">
        <v>214</v>
      </c>
      <c r="L20" s="20" t="s">
        <v>215</v>
      </c>
      <c r="M20" s="20" t="s">
        <v>34</v>
      </c>
      <c r="N20" s="20" t="s">
        <v>106</v>
      </c>
      <c r="O20" s="20" t="s">
        <v>216</v>
      </c>
      <c r="P20" s="20"/>
    </row>
    <row r="21" spans="2:16" ht="17.5">
      <c r="B21" s="18"/>
      <c r="C21" s="18"/>
      <c r="D21" s="19" t="s">
        <v>217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</row>
    <row r="22" spans="2:16" ht="87.5">
      <c r="B22" s="18">
        <v>3</v>
      </c>
      <c r="C22" s="18"/>
      <c r="D22" s="19">
        <v>15</v>
      </c>
      <c r="E22" s="20" t="s">
        <v>218</v>
      </c>
      <c r="F22" s="20" t="s">
        <v>219</v>
      </c>
      <c r="G22" s="20" t="s">
        <v>220</v>
      </c>
      <c r="H22" s="20" t="s">
        <v>221</v>
      </c>
      <c r="I22" s="20" t="s">
        <v>222</v>
      </c>
      <c r="J22" s="20" t="s">
        <v>223</v>
      </c>
      <c r="K22" s="20" t="s">
        <v>224</v>
      </c>
      <c r="L22" s="20" t="s">
        <v>225</v>
      </c>
      <c r="M22" s="20" t="s">
        <v>34</v>
      </c>
      <c r="N22" s="20" t="s">
        <v>106</v>
      </c>
      <c r="O22" s="20"/>
      <c r="P22" s="20"/>
    </row>
    <row r="23" spans="2:16" ht="175">
      <c r="B23" s="18">
        <v>3</v>
      </c>
      <c r="C23" s="18"/>
      <c r="D23" s="19">
        <v>16</v>
      </c>
      <c r="E23" s="20" t="s">
        <v>218</v>
      </c>
      <c r="F23" s="20" t="s">
        <v>226</v>
      </c>
      <c r="G23" s="20" t="s">
        <v>227</v>
      </c>
      <c r="H23" s="20" t="s">
        <v>228</v>
      </c>
      <c r="I23" s="20" t="s">
        <v>229</v>
      </c>
      <c r="J23" s="20" t="s">
        <v>230</v>
      </c>
      <c r="K23" s="20" t="s">
        <v>231</v>
      </c>
      <c r="L23" s="20" t="s">
        <v>232</v>
      </c>
      <c r="M23" s="20" t="s">
        <v>34</v>
      </c>
      <c r="N23" s="20" t="s">
        <v>106</v>
      </c>
      <c r="O23" s="20"/>
      <c r="P23" s="20"/>
    </row>
    <row r="24" spans="2:16" ht="122.5">
      <c r="B24" s="18">
        <v>3</v>
      </c>
      <c r="C24" s="18"/>
      <c r="D24" s="19">
        <v>17</v>
      </c>
      <c r="E24" s="20" t="s">
        <v>233</v>
      </c>
      <c r="F24" s="20" t="s">
        <v>234</v>
      </c>
      <c r="G24" s="20" t="s">
        <v>235</v>
      </c>
      <c r="H24" s="20" t="s">
        <v>236</v>
      </c>
      <c r="I24" s="20" t="s">
        <v>237</v>
      </c>
      <c r="J24" s="20" t="s">
        <v>238</v>
      </c>
      <c r="K24" s="20" t="s">
        <v>239</v>
      </c>
      <c r="L24" s="20" t="s">
        <v>240</v>
      </c>
      <c r="M24" s="20" t="s">
        <v>34</v>
      </c>
      <c r="N24" s="20" t="s">
        <v>106</v>
      </c>
      <c r="O24" s="20"/>
      <c r="P24" s="20"/>
    </row>
    <row r="25" spans="2:16" ht="192.5">
      <c r="B25" s="18">
        <v>3</v>
      </c>
      <c r="C25" s="18"/>
      <c r="D25" s="19">
        <v>18</v>
      </c>
      <c r="E25" s="20" t="s">
        <v>233</v>
      </c>
      <c r="F25" s="20" t="s">
        <v>241</v>
      </c>
      <c r="G25" s="20" t="s">
        <v>242</v>
      </c>
      <c r="H25" s="20" t="s">
        <v>424</v>
      </c>
      <c r="I25" s="20" t="s">
        <v>423</v>
      </c>
      <c r="J25" s="20" t="s">
        <v>422</v>
      </c>
      <c r="K25" s="20" t="s">
        <v>421</v>
      </c>
      <c r="L25" s="20" t="s">
        <v>420</v>
      </c>
      <c r="M25" s="20" t="s">
        <v>419</v>
      </c>
      <c r="N25" s="20" t="s">
        <v>106</v>
      </c>
      <c r="O25" s="20" t="s">
        <v>418</v>
      </c>
      <c r="P25" s="20"/>
    </row>
    <row r="26" spans="2:16" ht="262.5">
      <c r="B26" s="18">
        <v>3</v>
      </c>
      <c r="C26" s="18"/>
      <c r="D26" s="19">
        <v>19</v>
      </c>
      <c r="E26" s="20" t="s">
        <v>218</v>
      </c>
      <c r="F26" s="20" t="s">
        <v>243</v>
      </c>
      <c r="G26" s="20" t="s">
        <v>244</v>
      </c>
      <c r="H26" s="20" t="s">
        <v>245</v>
      </c>
      <c r="I26" s="20" t="s">
        <v>150</v>
      </c>
      <c r="J26" s="20" t="s">
        <v>246</v>
      </c>
      <c r="K26" s="20" t="s">
        <v>247</v>
      </c>
      <c r="L26" s="20" t="s">
        <v>248</v>
      </c>
      <c r="M26" s="20" t="s">
        <v>34</v>
      </c>
      <c r="N26" s="20" t="s">
        <v>106</v>
      </c>
      <c r="O26" s="20" t="s">
        <v>249</v>
      </c>
      <c r="P26" s="20"/>
    </row>
    <row r="27" spans="2:16" ht="192.5">
      <c r="B27" s="18">
        <v>3</v>
      </c>
      <c r="C27" s="18"/>
      <c r="D27" s="19">
        <v>20</v>
      </c>
      <c r="E27" s="20" t="s">
        <v>233</v>
      </c>
      <c r="F27" s="20" t="s">
        <v>250</v>
      </c>
      <c r="G27" s="20" t="s">
        <v>251</v>
      </c>
      <c r="H27" s="20" t="s">
        <v>252</v>
      </c>
      <c r="I27" s="20" t="s">
        <v>253</v>
      </c>
      <c r="J27" s="20" t="s">
        <v>254</v>
      </c>
      <c r="K27" s="20" t="s">
        <v>255</v>
      </c>
      <c r="L27" s="20" t="s">
        <v>256</v>
      </c>
      <c r="M27" s="20" t="s">
        <v>34</v>
      </c>
      <c r="N27" s="20" t="s">
        <v>106</v>
      </c>
      <c r="O27" s="20" t="s">
        <v>257</v>
      </c>
      <c r="P27" s="20"/>
    </row>
    <row r="28" spans="2:16" ht="17.5">
      <c r="B28" s="18"/>
      <c r="C28" s="18"/>
      <c r="D28" s="19" t="s">
        <v>258</v>
      </c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spans="2:16" ht="157.5">
      <c r="B29" s="18">
        <v>4</v>
      </c>
      <c r="C29" s="18"/>
      <c r="D29" s="19">
        <v>21</v>
      </c>
      <c r="E29" s="20" t="s">
        <v>259</v>
      </c>
      <c r="F29" s="20" t="s">
        <v>260</v>
      </c>
      <c r="G29" s="20" t="s">
        <v>261</v>
      </c>
      <c r="H29" s="20" t="s">
        <v>262</v>
      </c>
      <c r="I29" s="20" t="s">
        <v>263</v>
      </c>
      <c r="J29" s="20" t="s">
        <v>264</v>
      </c>
      <c r="K29" s="20" t="s">
        <v>265</v>
      </c>
      <c r="L29" s="20" t="s">
        <v>266</v>
      </c>
      <c r="M29" s="20" t="s">
        <v>34</v>
      </c>
      <c r="N29" s="20" t="s">
        <v>106</v>
      </c>
      <c r="O29" s="20"/>
      <c r="P29" s="20" t="s">
        <v>267</v>
      </c>
    </row>
    <row r="30" spans="2:16" ht="70">
      <c r="B30" s="18">
        <v>4</v>
      </c>
      <c r="C30" s="18"/>
      <c r="D30" s="19">
        <v>22</v>
      </c>
      <c r="E30" s="20" t="s">
        <v>268</v>
      </c>
      <c r="F30" s="20" t="s">
        <v>269</v>
      </c>
      <c r="G30" s="20" t="s">
        <v>270</v>
      </c>
      <c r="H30" s="20" t="s">
        <v>271</v>
      </c>
      <c r="I30" s="20" t="s">
        <v>272</v>
      </c>
      <c r="J30" s="20" t="s">
        <v>273</v>
      </c>
      <c r="K30" s="20" t="s">
        <v>274</v>
      </c>
      <c r="L30" s="20" t="s">
        <v>275</v>
      </c>
      <c r="M30" s="20" t="s">
        <v>34</v>
      </c>
      <c r="N30" s="20" t="s">
        <v>106</v>
      </c>
      <c r="O30" s="20"/>
      <c r="P30" s="20" t="s">
        <v>189</v>
      </c>
    </row>
    <row r="31" spans="2:16" ht="122.5">
      <c r="B31" s="18">
        <v>4</v>
      </c>
      <c r="C31" s="18"/>
      <c r="D31" s="19">
        <v>23</v>
      </c>
      <c r="E31" s="20" t="s">
        <v>268</v>
      </c>
      <c r="F31" s="20" t="s">
        <v>276</v>
      </c>
      <c r="G31" s="20" t="s">
        <v>277</v>
      </c>
      <c r="H31" s="20" t="s">
        <v>278</v>
      </c>
      <c r="I31" s="20" t="s">
        <v>279</v>
      </c>
      <c r="J31" s="20" t="s">
        <v>280</v>
      </c>
      <c r="K31" s="20" t="s">
        <v>281</v>
      </c>
      <c r="L31" s="20" t="s">
        <v>282</v>
      </c>
      <c r="M31" s="20" t="s">
        <v>34</v>
      </c>
      <c r="N31" s="20" t="s">
        <v>106</v>
      </c>
      <c r="O31" s="20" t="s">
        <v>283</v>
      </c>
      <c r="P31" s="20" t="s">
        <v>189</v>
      </c>
    </row>
    <row r="32" spans="2:16" ht="140">
      <c r="B32" s="18">
        <v>4</v>
      </c>
      <c r="C32" s="18"/>
      <c r="D32" s="19">
        <v>24</v>
      </c>
      <c r="E32" s="20" t="s">
        <v>268</v>
      </c>
      <c r="F32" s="20" t="s">
        <v>284</v>
      </c>
      <c r="G32" s="20" t="s">
        <v>285</v>
      </c>
      <c r="H32" s="20" t="s">
        <v>286</v>
      </c>
      <c r="I32" s="20" t="s">
        <v>287</v>
      </c>
      <c r="J32" s="20" t="s">
        <v>288</v>
      </c>
      <c r="K32" s="20" t="s">
        <v>289</v>
      </c>
      <c r="L32" s="20" t="s">
        <v>290</v>
      </c>
      <c r="M32" s="20" t="s">
        <v>34</v>
      </c>
      <c r="N32" s="20" t="s">
        <v>106</v>
      </c>
      <c r="O32" s="20" t="s">
        <v>188</v>
      </c>
      <c r="P32" s="20" t="s">
        <v>291</v>
      </c>
    </row>
    <row r="33" spans="2:16" ht="87.5">
      <c r="B33" s="18">
        <v>4</v>
      </c>
      <c r="C33" s="18"/>
      <c r="D33" s="19">
        <v>25</v>
      </c>
      <c r="E33" s="20" t="s">
        <v>268</v>
      </c>
      <c r="F33" s="20" t="s">
        <v>292</v>
      </c>
      <c r="G33" s="20" t="s">
        <v>293</v>
      </c>
      <c r="H33" s="20" t="s">
        <v>294</v>
      </c>
      <c r="I33" s="20" t="s">
        <v>295</v>
      </c>
      <c r="J33" s="20" t="s">
        <v>296</v>
      </c>
      <c r="K33" s="20" t="s">
        <v>297</v>
      </c>
      <c r="L33" s="20" t="s">
        <v>298</v>
      </c>
      <c r="M33" s="20" t="s">
        <v>34</v>
      </c>
      <c r="N33" s="20" t="s">
        <v>106</v>
      </c>
      <c r="O33" s="20"/>
      <c r="P33" s="20" t="s">
        <v>299</v>
      </c>
    </row>
    <row r="34" spans="2:16" ht="175">
      <c r="B34" s="18">
        <v>4</v>
      </c>
      <c r="C34" s="18"/>
      <c r="D34" s="19">
        <v>26</v>
      </c>
      <c r="E34" s="20" t="s">
        <v>268</v>
      </c>
      <c r="F34" s="20" t="s">
        <v>300</v>
      </c>
      <c r="G34" s="20" t="s">
        <v>301</v>
      </c>
      <c r="H34" s="20" t="s">
        <v>302</v>
      </c>
      <c r="I34" s="20" t="s">
        <v>303</v>
      </c>
      <c r="J34" s="20" t="s">
        <v>304</v>
      </c>
      <c r="K34" s="20" t="s">
        <v>305</v>
      </c>
      <c r="L34" s="20" t="s">
        <v>306</v>
      </c>
      <c r="M34" s="20" t="s">
        <v>34</v>
      </c>
      <c r="N34" s="20" t="s">
        <v>106</v>
      </c>
      <c r="O34" s="20"/>
      <c r="P34" s="20" t="s">
        <v>307</v>
      </c>
    </row>
    <row r="35" spans="2:16" ht="140">
      <c r="B35" s="18">
        <v>4</v>
      </c>
      <c r="C35" s="18"/>
      <c r="D35" s="19">
        <v>27</v>
      </c>
      <c r="E35" s="20" t="s">
        <v>268</v>
      </c>
      <c r="F35" s="20" t="s">
        <v>308</v>
      </c>
      <c r="G35" s="20" t="s">
        <v>309</v>
      </c>
      <c r="H35" s="20" t="s">
        <v>310</v>
      </c>
      <c r="I35" s="20" t="s">
        <v>311</v>
      </c>
      <c r="J35" s="20" t="s">
        <v>312</v>
      </c>
      <c r="K35" s="20" t="s">
        <v>313</v>
      </c>
      <c r="L35" s="20" t="s">
        <v>314</v>
      </c>
      <c r="M35" s="20" t="s">
        <v>34</v>
      </c>
      <c r="N35" s="20" t="s">
        <v>106</v>
      </c>
      <c r="O35" s="20"/>
      <c r="P35" s="20" t="s">
        <v>291</v>
      </c>
    </row>
    <row r="36" spans="2:16" ht="36" customHeight="1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2:16" ht="36" customHeight="1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2:16" ht="36" customHeight="1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2:16" ht="36" customHeight="1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2:16" ht="76.5" customHeight="1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2:16" ht="36" customHeight="1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2:16" ht="36" customHeight="1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2:16" ht="48" customHeight="1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2:16" ht="36" customHeight="1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2:16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2:16" ht="24" customHeight="1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2:16" ht="24" customHeight="1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2:16" ht="24" customHeight="1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2:16" ht="36" customHeight="1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2:16" ht="36" customHeight="1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2:16" ht="24" customHeight="1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2:16" ht="24" customHeight="1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2:16" ht="24" customHeight="1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2:16" ht="24" customHeight="1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2:16" ht="24" customHeight="1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2:16" ht="24" customHeight="1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2:16" ht="24" customHeight="1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2:16" ht="60" customHeight="1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2:16" ht="36" customHeight="1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2:16" ht="36" customHeight="1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2:16" ht="24" customHeight="1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2:16" ht="36" customHeight="1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2:16" ht="36" customHeight="1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2:16" ht="36" customHeight="1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2:16" ht="36" customHeight="1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2:16" ht="24" customHeight="1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</row>
    <row r="67" spans="2:16" ht="48" customHeight="1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</row>
    <row r="68" spans="2:16" ht="48" customHeight="1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</row>
    <row r="69" spans="2:16" ht="24" customHeight="1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</row>
    <row r="70" spans="2:16" ht="48" customHeight="1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</row>
    <row r="71" spans="2:16" ht="24" customHeight="1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</row>
    <row r="72" spans="2:16" ht="24" customHeight="1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</row>
    <row r="73" spans="2:16" ht="36" customHeight="1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</row>
    <row r="74" spans="2:16" ht="48" customHeight="1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</row>
    <row r="75" spans="2:16" ht="60" customHeight="1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</row>
    <row r="76" spans="2:16" ht="60" customHeight="1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</row>
    <row r="77" spans="2:16" ht="60" customHeight="1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</row>
    <row r="78" spans="2:16" ht="72" customHeight="1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</row>
    <row r="79" spans="2:16" ht="48" customHeight="1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</row>
    <row r="80" spans="2:16" ht="216" customHeight="1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</row>
    <row r="81" spans="2:16" ht="48" customHeight="1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</row>
    <row r="82" spans="2:16" ht="60" customHeight="1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</row>
    <row r="83" spans="2:16" ht="36" customHeight="1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</row>
    <row r="84" spans="2:16" ht="24" customHeight="1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</row>
    <row r="85" spans="2:16" ht="36" customHeight="1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</row>
    <row r="86" spans="2:16" ht="60" customHeight="1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</row>
    <row r="87" spans="2:16" ht="48" customHeight="1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</row>
    <row r="88" spans="2:16" ht="48" customHeight="1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</row>
    <row r="89" spans="2:16" ht="60" customHeight="1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</row>
    <row r="90" spans="2:16" ht="84" customHeight="1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</row>
    <row r="91" spans="2:16" ht="48" customHeight="1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</row>
    <row r="92" spans="2:16" ht="60" customHeight="1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</row>
    <row r="93" spans="2:16" ht="72" customHeight="1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</row>
    <row r="94" spans="2:16" ht="48" customHeight="1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</row>
    <row r="95" spans="2:16" ht="72" customHeight="1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</row>
    <row r="96" spans="2:16" ht="48" customHeight="1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</row>
    <row r="97" spans="2:16" ht="36" customHeight="1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</row>
    <row r="98" spans="2:16" ht="72" customHeight="1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</row>
    <row r="99" spans="2:16" ht="36" customHeight="1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</row>
    <row r="100" spans="2:16" ht="48" customHeight="1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</row>
    <row r="101" spans="2:16" ht="48" customHeight="1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</row>
    <row r="102" spans="2:16" ht="72" customHeight="1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</row>
    <row r="103" spans="2:16" ht="60" customHeight="1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</row>
    <row r="104" spans="2:16" ht="48" customHeight="1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</row>
    <row r="105" spans="2:16" ht="84" customHeight="1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</row>
    <row r="106" spans="2:16" ht="17.25" customHeight="1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</row>
    <row r="107" spans="2:16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</row>
    <row r="108" spans="2:16" ht="36" customHeight="1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</row>
    <row r="109" spans="2:16" ht="24" customHeight="1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</row>
    <row r="110" spans="2:16" ht="36" customHeight="1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</row>
    <row r="111" spans="2:16" ht="24" customHeight="1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</row>
    <row r="112" spans="2:16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</row>
    <row r="113" spans="2:16" ht="36" customHeight="1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</row>
    <row r="114" spans="2:16" ht="38.25" customHeight="1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</row>
    <row r="115" spans="2:16" ht="24" customHeight="1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</row>
    <row r="116" spans="2:16" ht="17.25" customHeight="1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</row>
    <row r="117" spans="2:16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</row>
    <row r="118" spans="2:16" ht="24" customHeight="1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</row>
    <row r="119" spans="2:16" ht="36" customHeight="1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</row>
    <row r="120" spans="2:16" ht="72" customHeight="1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</row>
    <row r="121" spans="2:16" ht="60" customHeight="1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</row>
    <row r="122" spans="2:16" ht="24" customHeight="1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</row>
    <row r="123" spans="2:16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</row>
    <row r="124" spans="2:16" ht="36" customHeight="1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</row>
    <row r="125" spans="2:16" ht="38.25" customHeight="1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</row>
    <row r="126" spans="2:16" ht="51" customHeight="1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</row>
    <row r="127" spans="2:16" ht="36" customHeight="1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</row>
    <row r="128" spans="2:16" ht="51" customHeight="1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</row>
    <row r="129" spans="2:16" ht="48" customHeight="1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</row>
    <row r="130" spans="2:16" ht="24" customHeight="1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</row>
    <row r="131" spans="2:16" ht="36" customHeight="1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</row>
    <row r="132" spans="2:16" ht="24" customHeight="1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</row>
    <row r="133" spans="2:16" ht="51" customHeight="1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</row>
    <row r="134" spans="2:16" ht="36" customHeight="1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</row>
    <row r="135" spans="2:16" ht="38.25" customHeight="1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</row>
    <row r="136" spans="2:16" ht="60" customHeight="1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</row>
    <row r="137" spans="2:16" ht="38.25" customHeight="1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</row>
    <row r="138" spans="2:16" ht="36" customHeight="1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</row>
    <row r="139" spans="2:16" ht="38.25" customHeight="1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</row>
    <row r="140" spans="2:16" ht="36" customHeight="1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</row>
    <row r="141" spans="2:16" ht="48" customHeight="1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</row>
    <row r="142" spans="2:16" ht="36" customHeight="1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</row>
    <row r="143" spans="2:16" ht="48" customHeight="1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</row>
    <row r="144" spans="2:16" ht="38.25" customHeight="1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</row>
    <row r="145" spans="2:16" ht="48" customHeight="1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</row>
    <row r="146" spans="2:16" ht="36" customHeight="1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</row>
    <row r="147" spans="2:16" ht="24" customHeight="1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</row>
    <row r="148" spans="2:16" ht="36" customHeight="1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</row>
    <row r="149" spans="2:16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</row>
    <row r="150" spans="2:16" ht="48" customHeight="1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</row>
    <row r="151" spans="2:16" ht="48" customHeight="1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</row>
    <row r="152" spans="2:16" ht="36" customHeight="1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</row>
    <row r="153" spans="2:16" ht="36" customHeight="1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</row>
    <row r="154" spans="2:16" ht="24" customHeight="1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</row>
    <row r="155" spans="2:16" ht="36" customHeight="1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</row>
    <row r="156" spans="2:16" ht="36" customHeight="1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</row>
    <row r="157" spans="2:16" ht="36" customHeight="1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</row>
    <row r="158" spans="2:16" ht="36" customHeight="1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</row>
    <row r="159" spans="2:16" ht="36" customHeight="1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</row>
    <row r="160" spans="2:16" ht="48" customHeight="1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</row>
    <row r="161" spans="2:16" ht="48" customHeight="1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</row>
    <row r="162" spans="2:16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</row>
    <row r="163" spans="2:16" ht="63.75" customHeight="1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</row>
    <row r="164" spans="2:16" ht="36" customHeight="1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</row>
    <row r="165" spans="2:16" ht="51" customHeight="1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</row>
    <row r="166" spans="2:16" ht="48" customHeight="1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</row>
    <row r="167" spans="2:16" ht="24" customHeight="1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</row>
    <row r="168" spans="2:16" ht="38.25" customHeight="1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</row>
    <row r="169" spans="2:16" ht="24" customHeight="1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</row>
    <row r="170" spans="2:16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</row>
    <row r="171" spans="2:16" ht="24" customHeight="1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</row>
    <row r="172" spans="2:16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</row>
    <row r="173" spans="2:16" ht="24" customHeight="1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</row>
    <row r="174" spans="2:16" ht="36" customHeight="1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</row>
    <row r="175" spans="2:16" ht="36" customHeight="1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</row>
    <row r="176" spans="2:16" ht="25.5" customHeight="1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</row>
    <row r="177" spans="2:16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</row>
    <row r="178" spans="2:16" ht="36" customHeight="1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</row>
    <row r="179" spans="2:16" ht="24" customHeight="1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</row>
    <row r="180" spans="2:16" ht="24" customHeight="1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</row>
    <row r="181" spans="2:16" ht="24" customHeight="1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</row>
    <row r="182" spans="2:16" ht="36" customHeight="1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</row>
    <row r="183" spans="2:16" ht="24" customHeight="1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</row>
    <row r="184" spans="2:16" ht="24" customHeight="1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</row>
    <row r="185" spans="2:16" ht="24" customHeight="1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</row>
    <row r="186" spans="2:16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</row>
    <row r="187" spans="2:16" ht="24" customHeight="1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</row>
    <row r="188" spans="2:16" ht="24" customHeight="1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</row>
    <row r="189" spans="2:16" ht="24" customHeight="1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</row>
    <row r="190" spans="2:16" ht="24" customHeight="1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</row>
    <row r="191" spans="2:16" ht="24" customHeight="1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</row>
    <row r="192" spans="2:16" ht="36" customHeight="1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</row>
    <row r="193" spans="2:16" ht="24" customHeight="1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</row>
    <row r="194" spans="2:16" ht="27" customHeight="1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</row>
    <row r="195" spans="2:16" ht="24" customHeight="1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</row>
    <row r="196" spans="2:16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</row>
    <row r="197" spans="2:16" ht="36" customHeight="1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</row>
    <row r="198" spans="2:16" ht="168" customHeight="1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</row>
    <row r="199" spans="2:16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</row>
    <row r="200" spans="2:16" ht="36" customHeight="1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</row>
    <row r="201" spans="2:16" ht="72" customHeight="1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</row>
    <row r="202" spans="2:16" ht="48" customHeight="1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</row>
    <row r="203" spans="2:16" ht="36" customHeight="1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</row>
    <row r="204" spans="2:16" ht="48" customHeight="1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</row>
    <row r="205" spans="2:16" ht="36" customHeight="1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</row>
    <row r="206" spans="2:16" ht="17.25" customHeight="1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</row>
    <row r="207" spans="2:16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</row>
    <row r="208" spans="2:16" ht="63.75" customHeight="1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</row>
    <row r="209" spans="2:16" ht="36" customHeight="1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</row>
    <row r="210" spans="2:16" ht="36" customHeight="1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</row>
    <row r="211" spans="2:16" ht="38.25" customHeight="1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</row>
    <row r="212" spans="2:16" ht="38.25" customHeight="1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</row>
    <row r="213" spans="2:16" ht="38.25" customHeight="1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</row>
    <row r="214" spans="2:16" ht="38.25" customHeight="1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</row>
    <row r="215" spans="2:16" ht="38.25" customHeight="1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</row>
    <row r="216" spans="2:16" ht="51" customHeight="1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</row>
    <row r="217" spans="2:16" ht="38.25" customHeight="1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</row>
    <row r="218" spans="2:16" ht="38.25" customHeight="1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</row>
    <row r="219" spans="2:16" ht="36" customHeight="1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</row>
    <row r="220" spans="2:16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</row>
    <row r="221" spans="2:16" ht="36" customHeight="1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</row>
    <row r="222" spans="2:16" ht="36" customHeight="1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</row>
    <row r="223" spans="2:16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</row>
    <row r="224" spans="2:16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</row>
    <row r="225" spans="2:16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</row>
    <row r="226" spans="2:16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</row>
    <row r="227" spans="2:16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</row>
    <row r="228" spans="2:16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</row>
    <row r="229" spans="2:16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</row>
    <row r="230" spans="2:16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</row>
    <row r="231" spans="2:16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</row>
    <row r="232" spans="2:16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</row>
    <row r="233" spans="2:16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</row>
    <row r="234" spans="2:16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</row>
    <row r="235" spans="2:16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</row>
    <row r="236" spans="2:16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</row>
    <row r="237" spans="2:16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</row>
    <row r="238" spans="2:16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</row>
    <row r="239" spans="2:16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</row>
    <row r="240" spans="2:16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</row>
    <row r="241" spans="2:16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</row>
    <row r="242" spans="2:16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</row>
    <row r="243" spans="2:16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</row>
    <row r="244" spans="2:16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</row>
    <row r="245" spans="2:16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</row>
    <row r="246" spans="2:16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</row>
    <row r="247" spans="2:16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</row>
    <row r="248" spans="2:16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</row>
    <row r="249" spans="2:16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</row>
    <row r="250" spans="2:16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</row>
    <row r="251" spans="2:16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</row>
    <row r="252" spans="2:16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</row>
    <row r="253" spans="2:16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</row>
    <row r="254" spans="2:16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</row>
    <row r="255" spans="2:16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</row>
    <row r="256" spans="2:16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</row>
    <row r="257" spans="2:16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</row>
    <row r="258" spans="2:16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</row>
    <row r="259" spans="2:16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</row>
    <row r="260" spans="2:16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</row>
    <row r="261" spans="2:16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</row>
    <row r="262" spans="2:16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</row>
    <row r="263" spans="2:16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</row>
    <row r="264" spans="2:16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</row>
    <row r="265" spans="2:16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</row>
    <row r="266" spans="2:16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</row>
    <row r="267" spans="2:16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</row>
    <row r="268" spans="2:16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</row>
    <row r="269" spans="2:16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</row>
    <row r="270" spans="2:16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</row>
    <row r="271" spans="2:16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</row>
    <row r="272" spans="2:16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</row>
  </sheetData>
  <phoneticPr fontId="30" type="noConversion"/>
  <conditionalFormatting sqref="M1:M35 M273:M1048576">
    <cfRule type="cellIs" dxfId="0" priority="1" operator="equal">
      <formula>"Fail"</formula>
    </cfRule>
  </conditionalFormatting>
  <dataValidations count="1">
    <dataValidation type="list" allowBlank="1" showInputMessage="1" showErrorMessage="1" sqref="M13:M35 M6:M10" xr:uid="{00000000-0002-0000-0200-000000000000}">
      <formula1>진행결과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6"/>
  <sheetViews>
    <sheetView zoomScaleNormal="100" workbookViewId="0">
      <selection activeCell="D7" sqref="D7"/>
    </sheetView>
  </sheetViews>
  <sheetFormatPr defaultColWidth="8.81640625" defaultRowHeight="14.5"/>
  <cols>
    <col min="1" max="1" width="8.81640625" style="3"/>
    <col min="2" max="2" width="11.26953125" style="3" customWidth="1"/>
    <col min="3" max="16384" width="8.81640625" style="3"/>
  </cols>
  <sheetData>
    <row r="2" spans="2:4" ht="17">
      <c r="B2" s="23" t="s">
        <v>77</v>
      </c>
      <c r="D2" s="65" t="s">
        <v>81</v>
      </c>
    </row>
    <row r="3" spans="2:4" ht="18" customHeight="1">
      <c r="B3" s="24" t="s">
        <v>34</v>
      </c>
      <c r="D3" s="64" t="s">
        <v>82</v>
      </c>
    </row>
    <row r="4" spans="2:4" ht="18" customHeight="1">
      <c r="B4" s="24" t="s">
        <v>83</v>
      </c>
      <c r="D4" s="64" t="s">
        <v>84</v>
      </c>
    </row>
    <row r="5" spans="2:4" ht="18" customHeight="1">
      <c r="B5" s="24" t="s">
        <v>35</v>
      </c>
      <c r="D5" s="64" t="s">
        <v>85</v>
      </c>
    </row>
    <row r="6" spans="2:4" ht="18.5">
      <c r="B6" s="23"/>
      <c r="D6" s="3" t="s">
        <v>86</v>
      </c>
    </row>
  </sheetData>
  <phoneticPr fontId="30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9"/>
  <sheetViews>
    <sheetView zoomScaleNormal="100" workbookViewId="0">
      <selection activeCell="N10" sqref="N10"/>
    </sheetView>
  </sheetViews>
  <sheetFormatPr defaultColWidth="8.7265625" defaultRowHeight="14.5"/>
  <cols>
    <col min="1" max="1" width="8" customWidth="1"/>
    <col min="2" max="2" width="22" customWidth="1"/>
    <col min="3" max="3" width="8" customWidth="1"/>
    <col min="4" max="4" width="18" customWidth="1"/>
    <col min="5" max="5" width="12" customWidth="1"/>
    <col min="6" max="7" width="10" customWidth="1"/>
    <col min="8" max="8" width="12" customWidth="1"/>
  </cols>
  <sheetData>
    <row r="1" spans="1:8" ht="30" customHeight="1">
      <c r="A1" s="113" t="s">
        <v>320</v>
      </c>
      <c r="B1" s="113"/>
      <c r="C1" s="113"/>
      <c r="D1" s="113"/>
      <c r="E1" s="113"/>
      <c r="F1" s="113"/>
      <c r="G1" s="113"/>
      <c r="H1" s="113"/>
    </row>
    <row r="2" spans="1:8" ht="30" customHeight="1">
      <c r="A2" s="111" t="s">
        <v>321</v>
      </c>
      <c r="B2" s="111"/>
      <c r="C2" s="111"/>
      <c r="D2" s="111"/>
      <c r="E2" s="111"/>
      <c r="F2" s="111"/>
      <c r="G2" s="111"/>
      <c r="H2" s="111"/>
    </row>
    <row r="3" spans="1:8" ht="30" customHeight="1">
      <c r="A3" s="4" t="s">
        <v>49</v>
      </c>
      <c r="B3" s="1" t="s">
        <v>50</v>
      </c>
      <c r="C3" s="1" t="s">
        <v>51</v>
      </c>
      <c r="D3" s="1" t="s">
        <v>87</v>
      </c>
      <c r="E3" s="1" t="s">
        <v>33</v>
      </c>
      <c r="F3" s="4" t="s">
        <v>34</v>
      </c>
      <c r="G3" s="4" t="s">
        <v>35</v>
      </c>
      <c r="H3" s="1" t="s">
        <v>37</v>
      </c>
    </row>
    <row r="4" spans="1:8" ht="27.75" customHeight="1">
      <c r="A4" s="63" t="s">
        <v>291</v>
      </c>
      <c r="B4" s="5" t="s">
        <v>322</v>
      </c>
      <c r="C4" s="33" t="s">
        <v>323</v>
      </c>
      <c r="D4" s="33" t="s">
        <v>324</v>
      </c>
      <c r="E4" s="33">
        <f>SUMPRODUCT((ISNUMBER(SEARCH("IF-02-P", '통합테스트 시나리오'!$P$4:$P$272)))*1)</f>
        <v>2</v>
      </c>
      <c r="F4" s="59">
        <f>SUMPRODUCT((ISNUMBER(SEARCH("IF-02-P", '통합테스트 시나리오'!$P$4:$P$272)))*('통합테스트 시나리오'!$M$4:$M$272="Pass"))</f>
        <v>2</v>
      </c>
      <c r="G4" s="60">
        <f>SUMPRODUCT((ISNUMBER(SEARCH("IF-02-P", '통합테스트 시나리오'!$P$4:$P$272)))*('통합테스트 시나리오'!$M$4:$M$272="Fail"))</f>
        <v>0</v>
      </c>
      <c r="H4" s="61">
        <f>IFERROR(F4/(F4+G4), 0)</f>
        <v>1</v>
      </c>
    </row>
    <row r="5" spans="1:8" ht="27.75" customHeight="1">
      <c r="A5" s="63" t="s">
        <v>299</v>
      </c>
      <c r="B5" s="5" t="s">
        <v>325</v>
      </c>
      <c r="C5" s="33" t="s">
        <v>326</v>
      </c>
      <c r="D5" s="33" t="s">
        <v>324</v>
      </c>
      <c r="E5" s="33">
        <f>SUMPRODUCT((ISNUMBER(SEARCH("IF-02-R", '통합테스트 시나리오'!$P$4:$P$272)))*1)</f>
        <v>1</v>
      </c>
      <c r="F5" s="59">
        <f>SUMPRODUCT((ISNUMBER(SEARCH("IF-02-R", '통합테스트 시나리오'!$P$4:$P$272)))*('통합테스트 시나리오'!$M$4:$M$272="Pass"))</f>
        <v>1</v>
      </c>
      <c r="G5" s="60">
        <f>SUMPRODUCT((ISNUMBER(SEARCH("IF-02-R", '통합테스트 시나리오'!$P$4:$P$272)))*('통합테스트 시나리오'!$M$4:$M$272="Fail"))</f>
        <v>0</v>
      </c>
      <c r="H5" s="61">
        <f>IFERROR(F5/(F5+G5), 0)</f>
        <v>1</v>
      </c>
    </row>
    <row r="6" spans="1:8" ht="27.75" customHeight="1">
      <c r="A6" s="63" t="s">
        <v>189</v>
      </c>
      <c r="B6" s="5" t="s">
        <v>327</v>
      </c>
      <c r="C6" s="33" t="s">
        <v>328</v>
      </c>
      <c r="D6" s="33" t="s">
        <v>329</v>
      </c>
      <c r="E6" s="33">
        <f>SUMPRODUCT((ISNUMBER(SEARCH("IF-03", '통합테스트 시나리오'!$P$4:$P$272)))*1)</f>
        <v>4</v>
      </c>
      <c r="F6" s="59">
        <f>SUMPRODUCT((ISNUMBER(SEARCH("IF-03", '통합테스트 시나리오'!$P$4:$P$272)))*('통합테스트 시나리오'!$M$4:$M$272="Pass"))</f>
        <v>4</v>
      </c>
      <c r="G6" s="60">
        <f>SUMPRODUCT((ISNUMBER(SEARCH("IF-03", '통합테스트 시나리오'!$P$4:$P$272)))*('통합테스트 시나리오'!$M$4:$M$272="Fail"))</f>
        <v>0</v>
      </c>
      <c r="H6" s="61">
        <f>IFERROR(F6/(F6+G6), 0)</f>
        <v>1</v>
      </c>
    </row>
    <row r="7" spans="1:8" ht="27.75" customHeight="1">
      <c r="A7" s="63" t="s">
        <v>307</v>
      </c>
      <c r="B7" s="5" t="s">
        <v>330</v>
      </c>
      <c r="C7" s="33" t="s">
        <v>328</v>
      </c>
      <c r="D7" s="33" t="s">
        <v>329</v>
      </c>
      <c r="E7" s="33">
        <f>SUMPRODUCT((ISNUMBER(SEARCH("IF-06", '통합테스트 시나리오'!$P$4:$P$272)))*1)</f>
        <v>2</v>
      </c>
      <c r="F7" s="59">
        <f>SUMPRODUCT((ISNUMBER(SEARCH("IF-06", '통합테스트 시나리오'!$P$4:$P$272)))*('통합테스트 시나리오'!$M$4:$M$272="Pass"))</f>
        <v>2</v>
      </c>
      <c r="G7" s="60">
        <f>SUMPRODUCT((ISNUMBER(SEARCH("IF-06", '통합테스트 시나리오'!$P$4:$P$272)))*('통합테스트 시나리오'!$M$4:$M$272="Fail"))</f>
        <v>0</v>
      </c>
      <c r="H7" s="61">
        <f>IFERROR(F7/(F7+G7), 0)</f>
        <v>1</v>
      </c>
    </row>
    <row r="8" spans="1:8" ht="27.75" customHeight="1">
      <c r="A8" s="63" t="s">
        <v>267</v>
      </c>
      <c r="B8" s="5" t="s">
        <v>259</v>
      </c>
      <c r="C8" s="33" t="s">
        <v>331</v>
      </c>
      <c r="D8" s="33" t="s">
        <v>332</v>
      </c>
      <c r="E8" s="33">
        <f>SUMPRODUCT((ISNUMBER(SEARCH("IF-07", '통합테스트 시나리오'!$P$4:$P$272)))*1)</f>
        <v>1</v>
      </c>
      <c r="F8" s="59">
        <f>SUMPRODUCT((ISNUMBER(SEARCH("IF-07", '통합테스트 시나리오'!$P$4:$P$272)))*('통합테스트 시나리오'!$M$4:$M$272="Pass"))</f>
        <v>1</v>
      </c>
      <c r="G8" s="60">
        <f>SUMPRODUCT((ISNUMBER(SEARCH("IF-07", '통합테스트 시나리오'!$P$4:$P$272)))*('통합테스트 시나리오'!$M$4:$M$272="Fail"))</f>
        <v>0</v>
      </c>
      <c r="H8" s="61">
        <f>IFERROR(F8/(F8+G8), 0)</f>
        <v>1</v>
      </c>
    </row>
    <row r="9" spans="1:8" ht="27.75" customHeight="1">
      <c r="A9" s="63"/>
      <c r="B9" s="5"/>
      <c r="C9" s="33"/>
      <c r="D9" s="33"/>
      <c r="E9" s="33"/>
      <c r="F9" s="59"/>
      <c r="G9" s="60"/>
      <c r="H9" s="61"/>
    </row>
    <row r="11" spans="1:8" ht="27.75" customHeight="1">
      <c r="A11" s="110" t="s">
        <v>20</v>
      </c>
      <c r="B11" s="110"/>
      <c r="C11" s="110"/>
      <c r="D11" s="110"/>
      <c r="E11" s="37">
        <f>SUM(E4:E9)</f>
        <v>10</v>
      </c>
      <c r="F11" s="37">
        <f>SUM(F4:F9)</f>
        <v>10</v>
      </c>
      <c r="G11" s="37">
        <f>SUM(G4:G9)</f>
        <v>0</v>
      </c>
      <c r="H11" s="39">
        <f>IFERROR(F11/(F11+G11), 0)</f>
        <v>1</v>
      </c>
    </row>
    <row r="13" spans="1:8" ht="45">
      <c r="A13" s="45" t="s">
        <v>88</v>
      </c>
    </row>
    <row r="14" spans="1:8" ht="21.75" customHeight="1">
      <c r="A14" s="114" t="s">
        <v>333</v>
      </c>
      <c r="B14" s="114"/>
      <c r="C14" s="115" t="s">
        <v>334</v>
      </c>
      <c r="D14" s="115"/>
      <c r="E14" s="115"/>
      <c r="F14" s="115"/>
      <c r="G14" s="115"/>
      <c r="H14" s="115"/>
    </row>
    <row r="15" spans="1:8" ht="21.75" customHeight="1">
      <c r="A15" s="114" t="s">
        <v>335</v>
      </c>
      <c r="B15" s="114"/>
      <c r="C15" s="115" t="s">
        <v>336</v>
      </c>
      <c r="D15" s="115"/>
      <c r="E15" s="115"/>
      <c r="F15" s="115"/>
      <c r="G15" s="115"/>
      <c r="H15" s="115"/>
    </row>
    <row r="16" spans="1:8" ht="21.75" customHeight="1">
      <c r="A16" s="114" t="s">
        <v>337</v>
      </c>
      <c r="B16" s="114"/>
      <c r="C16" s="115" t="s">
        <v>338</v>
      </c>
      <c r="D16" s="115"/>
      <c r="E16" s="115"/>
      <c r="F16" s="115"/>
      <c r="G16" s="115"/>
      <c r="H16" s="115"/>
    </row>
    <row r="17" spans="1:8" ht="21.75" customHeight="1">
      <c r="A17" s="114" t="s">
        <v>339</v>
      </c>
      <c r="B17" s="114"/>
      <c r="C17" s="115" t="s">
        <v>340</v>
      </c>
      <c r="D17" s="115"/>
      <c r="E17" s="115"/>
      <c r="F17" s="115"/>
      <c r="G17" s="115"/>
      <c r="H17" s="115"/>
    </row>
    <row r="18" spans="1:8" ht="21.75" customHeight="1">
      <c r="A18" s="114" t="s">
        <v>341</v>
      </c>
      <c r="B18" s="114"/>
      <c r="C18" s="115" t="s">
        <v>342</v>
      </c>
      <c r="D18" s="115"/>
      <c r="E18" s="115"/>
      <c r="F18" s="115"/>
      <c r="G18" s="115"/>
      <c r="H18" s="115"/>
    </row>
    <row r="19" spans="1:8" ht="21.75" customHeight="1">
      <c r="A19" s="114"/>
      <c r="B19" s="114"/>
      <c r="C19" s="115"/>
      <c r="D19" s="115"/>
      <c r="E19" s="115"/>
      <c r="F19" s="115"/>
      <c r="G19" s="115"/>
      <c r="H19" s="115"/>
    </row>
  </sheetData>
  <mergeCells count="15">
    <mergeCell ref="A18:B18"/>
    <mergeCell ref="C18:H18"/>
    <mergeCell ref="A19:B19"/>
    <mergeCell ref="C19:H19"/>
    <mergeCell ref="A15:B15"/>
    <mergeCell ref="C15:H15"/>
    <mergeCell ref="A16:B16"/>
    <mergeCell ref="C16:H16"/>
    <mergeCell ref="A17:B17"/>
    <mergeCell ref="C17:H17"/>
    <mergeCell ref="A1:H1"/>
    <mergeCell ref="A2:H2"/>
    <mergeCell ref="A11:D11"/>
    <mergeCell ref="A14:B14"/>
    <mergeCell ref="C14:H14"/>
  </mergeCells>
  <phoneticPr fontId="3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4F91-D4C1-4109-8DF6-48975CB3E931}">
  <dimension ref="A1:L131"/>
  <sheetViews>
    <sheetView zoomScale="85" zoomScaleNormal="85" workbookViewId="0">
      <pane ySplit="3" topLeftCell="A103" activePane="bottomLeft" state="frozen"/>
      <selection activeCell="AC18" sqref="AC18"/>
      <selection pane="bottomLeft" activeCell="A108" sqref="A108"/>
    </sheetView>
  </sheetViews>
  <sheetFormatPr defaultColWidth="8.7265625" defaultRowHeight="17"/>
  <cols>
    <col min="1" max="1" width="19.7265625" style="49" customWidth="1"/>
    <col min="2" max="2" width="12.26953125" style="90" customWidth="1"/>
    <col min="3" max="3" width="22.54296875" style="49" customWidth="1"/>
    <col min="4" max="4" width="78" style="49" bestFit="1" customWidth="1"/>
    <col min="5" max="5" width="9.81640625" style="49" customWidth="1"/>
    <col min="6" max="6" width="14" style="49" customWidth="1"/>
    <col min="7" max="7" width="11.81640625" style="83" customWidth="1"/>
    <col min="8" max="8" width="8.54296875" style="49" customWidth="1"/>
    <col min="9" max="10" width="21.81640625" style="83" customWidth="1"/>
    <col min="11" max="11" width="18.1796875" style="49" customWidth="1"/>
    <col min="12" max="12" width="55.54296875" style="56" customWidth="1"/>
    <col min="13" max="13" width="21.1796875" style="49" customWidth="1"/>
    <col min="14" max="17" width="8.7265625" style="49"/>
    <col min="18" max="18" width="84.453125" style="49" customWidth="1"/>
    <col min="19" max="16384" width="8.7265625" style="49"/>
  </cols>
  <sheetData>
    <row r="1" spans="1:12" ht="21">
      <c r="B1" s="87"/>
      <c r="C1" s="47"/>
      <c r="D1" s="47"/>
      <c r="E1" s="48"/>
      <c r="F1" s="48" t="s">
        <v>89</v>
      </c>
      <c r="G1" s="82"/>
      <c r="H1" s="47"/>
      <c r="I1" s="85"/>
      <c r="J1" s="85"/>
      <c r="K1" s="47"/>
      <c r="L1" s="47"/>
    </row>
    <row r="2" spans="1:12">
      <c r="B2" s="50" t="s">
        <v>0</v>
      </c>
      <c r="C2" s="51" t="s">
        <v>354</v>
      </c>
      <c r="D2" s="52"/>
      <c r="E2" s="50" t="s">
        <v>1</v>
      </c>
      <c r="F2" s="53">
        <v>46313</v>
      </c>
      <c r="H2" s="50" t="s">
        <v>67</v>
      </c>
      <c r="I2" s="53" t="s">
        <v>355</v>
      </c>
      <c r="J2" s="86"/>
      <c r="L2" s="50" t="s">
        <v>30</v>
      </c>
    </row>
    <row r="3" spans="1:12">
      <c r="A3" s="54" t="s">
        <v>90</v>
      </c>
      <c r="B3" s="54" t="s">
        <v>91</v>
      </c>
      <c r="C3" s="54" t="s">
        <v>92</v>
      </c>
      <c r="D3" s="54" t="s">
        <v>93</v>
      </c>
      <c r="E3" s="54" t="s">
        <v>94</v>
      </c>
      <c r="F3" s="54" t="s">
        <v>95</v>
      </c>
      <c r="G3" s="84" t="s">
        <v>96</v>
      </c>
      <c r="H3" s="54" t="s">
        <v>97</v>
      </c>
      <c r="I3" s="84" t="s">
        <v>98</v>
      </c>
      <c r="J3" s="84" t="s">
        <v>99</v>
      </c>
      <c r="K3" s="54" t="s">
        <v>100</v>
      </c>
      <c r="L3" s="54" t="s">
        <v>11</v>
      </c>
    </row>
    <row r="4" spans="1:12" ht="16.5" customHeight="1">
      <c r="A4" s="95" t="s">
        <v>356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7"/>
    </row>
    <row r="5" spans="1:12" s="56" customFormat="1" ht="32">
      <c r="A5" s="55" t="s">
        <v>26</v>
      </c>
      <c r="B5" s="88">
        <v>1</v>
      </c>
      <c r="C5" s="55" t="s">
        <v>357</v>
      </c>
      <c r="D5" s="55" t="s">
        <v>358</v>
      </c>
      <c r="E5" s="55" t="s">
        <v>24</v>
      </c>
      <c r="F5" s="55" t="s">
        <v>106</v>
      </c>
      <c r="G5" s="76">
        <v>46307</v>
      </c>
      <c r="H5" s="55" t="s">
        <v>106</v>
      </c>
      <c r="I5" s="76">
        <v>46307</v>
      </c>
      <c r="J5" s="76">
        <v>46307</v>
      </c>
      <c r="K5" s="55" t="s">
        <v>7</v>
      </c>
      <c r="L5" s="55" t="s">
        <v>359</v>
      </c>
    </row>
    <row r="6" spans="1:12" s="56" customFormat="1" ht="32">
      <c r="A6" s="57" t="s">
        <v>27</v>
      </c>
      <c r="B6" s="89">
        <v>2</v>
      </c>
      <c r="C6" s="57" t="s">
        <v>360</v>
      </c>
      <c r="D6" s="57" t="s">
        <v>361</v>
      </c>
      <c r="E6" s="57" t="s">
        <v>24</v>
      </c>
      <c r="F6" s="57" t="s">
        <v>106</v>
      </c>
      <c r="G6" s="77">
        <v>46308</v>
      </c>
      <c r="H6" s="57" t="s">
        <v>106</v>
      </c>
      <c r="I6" s="77">
        <v>46308</v>
      </c>
      <c r="J6" s="77">
        <v>46308</v>
      </c>
      <c r="K6" s="57" t="s">
        <v>7</v>
      </c>
      <c r="L6" s="57" t="s">
        <v>362</v>
      </c>
    </row>
    <row r="7" spans="1:12" s="56" customFormat="1" ht="32">
      <c r="A7" s="55" t="s">
        <v>26</v>
      </c>
      <c r="B7" s="88">
        <v>3</v>
      </c>
      <c r="C7" s="55" t="s">
        <v>363</v>
      </c>
      <c r="D7" s="55" t="s">
        <v>364</v>
      </c>
      <c r="E7" s="55" t="s">
        <v>22</v>
      </c>
      <c r="F7" s="55" t="s">
        <v>106</v>
      </c>
      <c r="G7" s="76">
        <v>46309</v>
      </c>
      <c r="H7" s="55" t="s">
        <v>106</v>
      </c>
      <c r="I7" s="76">
        <v>46309</v>
      </c>
      <c r="J7" s="76">
        <v>46309</v>
      </c>
      <c r="K7" s="55" t="s">
        <v>7</v>
      </c>
      <c r="L7" s="55" t="s">
        <v>365</v>
      </c>
    </row>
    <row r="8" spans="1:12" s="56" customFormat="1">
      <c r="A8" s="57" t="s">
        <v>26</v>
      </c>
      <c r="B8" s="89">
        <v>4</v>
      </c>
      <c r="C8" s="57" t="s">
        <v>180</v>
      </c>
      <c r="D8" s="57" t="s">
        <v>366</v>
      </c>
      <c r="E8" s="57" t="s">
        <v>22</v>
      </c>
      <c r="F8" s="57" t="s">
        <v>106</v>
      </c>
      <c r="G8" s="77">
        <v>46309</v>
      </c>
      <c r="H8" s="57" t="s">
        <v>106</v>
      </c>
      <c r="I8" s="77">
        <v>46309</v>
      </c>
      <c r="J8" s="77">
        <v>46309</v>
      </c>
      <c r="K8" s="57" t="s">
        <v>7</v>
      </c>
      <c r="L8" s="57" t="s">
        <v>367</v>
      </c>
    </row>
    <row r="9" spans="1:12" s="56" customFormat="1" ht="32">
      <c r="A9" s="55" t="s">
        <v>26</v>
      </c>
      <c r="B9" s="88">
        <v>5</v>
      </c>
      <c r="C9" s="55" t="s">
        <v>368</v>
      </c>
      <c r="D9" s="55" t="s">
        <v>369</v>
      </c>
      <c r="E9" s="55" t="s">
        <v>24</v>
      </c>
      <c r="F9" s="55" t="s">
        <v>106</v>
      </c>
      <c r="G9" s="76">
        <v>46309</v>
      </c>
      <c r="H9" s="55" t="s">
        <v>106</v>
      </c>
      <c r="I9" s="76">
        <v>46309</v>
      </c>
      <c r="J9" s="76">
        <v>46309</v>
      </c>
      <c r="K9" s="55" t="s">
        <v>7</v>
      </c>
      <c r="L9" s="55" t="s">
        <v>370</v>
      </c>
    </row>
    <row r="10" spans="1:12" s="56" customFormat="1">
      <c r="A10" s="57" t="s">
        <v>26</v>
      </c>
      <c r="B10" s="89">
        <v>6</v>
      </c>
      <c r="C10" s="57" t="s">
        <v>368</v>
      </c>
      <c r="D10" s="57" t="s">
        <v>371</v>
      </c>
      <c r="E10" s="57" t="s">
        <v>24</v>
      </c>
      <c r="F10" s="57" t="s">
        <v>106</v>
      </c>
      <c r="G10" s="77">
        <v>46309</v>
      </c>
      <c r="H10" s="57" t="s">
        <v>106</v>
      </c>
      <c r="I10" s="77">
        <v>46309</v>
      </c>
      <c r="J10" s="77">
        <v>46309</v>
      </c>
      <c r="K10" s="57" t="s">
        <v>7</v>
      </c>
      <c r="L10" s="57"/>
    </row>
    <row r="11" spans="1:12" s="56" customFormat="1">
      <c r="A11" s="55" t="s">
        <v>26</v>
      </c>
      <c r="B11" s="88">
        <v>7</v>
      </c>
      <c r="C11" s="55" t="s">
        <v>372</v>
      </c>
      <c r="D11" s="55" t="s">
        <v>373</v>
      </c>
      <c r="E11" s="55" t="s">
        <v>22</v>
      </c>
      <c r="F11" s="55" t="s">
        <v>106</v>
      </c>
      <c r="G11" s="76">
        <v>46309</v>
      </c>
      <c r="H11" s="55" t="s">
        <v>106</v>
      </c>
      <c r="I11" s="76">
        <v>46309</v>
      </c>
      <c r="J11" s="76">
        <v>46309</v>
      </c>
      <c r="K11" s="55" t="s">
        <v>7</v>
      </c>
      <c r="L11" s="55"/>
    </row>
    <row r="12" spans="1:12" s="56" customFormat="1">
      <c r="A12" s="57" t="s">
        <v>26</v>
      </c>
      <c r="B12" s="89">
        <v>8</v>
      </c>
      <c r="C12" s="57" t="s">
        <v>180</v>
      </c>
      <c r="D12" s="57" t="s">
        <v>374</v>
      </c>
      <c r="E12" s="57" t="s">
        <v>24</v>
      </c>
      <c r="F12" s="57" t="s">
        <v>106</v>
      </c>
      <c r="G12" s="77">
        <v>46310</v>
      </c>
      <c r="H12" s="57" t="s">
        <v>106</v>
      </c>
      <c r="I12" s="77">
        <v>46310</v>
      </c>
      <c r="J12" s="77">
        <v>46310</v>
      </c>
      <c r="K12" s="57" t="s">
        <v>7</v>
      </c>
      <c r="L12" s="57" t="s">
        <v>375</v>
      </c>
    </row>
    <row r="13" spans="1:12" s="56" customFormat="1" ht="32">
      <c r="A13" s="55" t="s">
        <v>27</v>
      </c>
      <c r="B13" s="88">
        <v>9</v>
      </c>
      <c r="C13" s="55" t="s">
        <v>376</v>
      </c>
      <c r="D13" s="55" t="s">
        <v>377</v>
      </c>
      <c r="E13" s="55" t="s">
        <v>24</v>
      </c>
      <c r="F13" s="55" t="s">
        <v>106</v>
      </c>
      <c r="G13" s="76">
        <v>46310</v>
      </c>
      <c r="H13" s="55" t="s">
        <v>106</v>
      </c>
      <c r="I13" s="76">
        <v>46310</v>
      </c>
      <c r="J13" s="76">
        <v>46310</v>
      </c>
      <c r="K13" s="55" t="s">
        <v>7</v>
      </c>
      <c r="L13" s="55" t="s">
        <v>378</v>
      </c>
    </row>
    <row r="14" spans="1:12" s="56" customFormat="1" ht="32">
      <c r="A14" s="57" t="s">
        <v>27</v>
      </c>
      <c r="B14" s="89">
        <v>10</v>
      </c>
      <c r="C14" s="57" t="s">
        <v>376</v>
      </c>
      <c r="D14" s="57" t="s">
        <v>379</v>
      </c>
      <c r="E14" s="57" t="s">
        <v>24</v>
      </c>
      <c r="F14" s="57" t="s">
        <v>106</v>
      </c>
      <c r="G14" s="77">
        <v>46310</v>
      </c>
      <c r="H14" s="57" t="s">
        <v>106</v>
      </c>
      <c r="I14" s="77">
        <v>46310</v>
      </c>
      <c r="J14" s="77">
        <v>46310</v>
      </c>
      <c r="K14" s="57" t="s">
        <v>7</v>
      </c>
      <c r="L14" s="57" t="s">
        <v>380</v>
      </c>
    </row>
    <row r="15" spans="1:12" s="56" customFormat="1" ht="48">
      <c r="A15" s="55" t="s">
        <v>27</v>
      </c>
      <c r="B15" s="88">
        <v>11</v>
      </c>
      <c r="C15" s="55" t="s">
        <v>218</v>
      </c>
      <c r="D15" s="55" t="s">
        <v>381</v>
      </c>
      <c r="E15" s="55" t="s">
        <v>24</v>
      </c>
      <c r="F15" s="55" t="s">
        <v>106</v>
      </c>
      <c r="G15" s="76">
        <v>46310</v>
      </c>
      <c r="H15" s="55" t="s">
        <v>106</v>
      </c>
      <c r="I15" s="76">
        <v>46311</v>
      </c>
      <c r="J15" s="76">
        <v>46311</v>
      </c>
      <c r="K15" s="55" t="s">
        <v>7</v>
      </c>
      <c r="L15" s="55" t="s">
        <v>382</v>
      </c>
    </row>
    <row r="16" spans="1:12" s="56" customFormat="1" ht="32">
      <c r="A16" s="57" t="s">
        <v>26</v>
      </c>
      <c r="B16" s="89">
        <v>12</v>
      </c>
      <c r="C16" s="57" t="s">
        <v>383</v>
      </c>
      <c r="D16" s="57" t="s">
        <v>384</v>
      </c>
      <c r="E16" s="57" t="s">
        <v>22</v>
      </c>
      <c r="F16" s="57" t="s">
        <v>106</v>
      </c>
      <c r="G16" s="77">
        <v>46309</v>
      </c>
      <c r="H16" s="57" t="s">
        <v>106</v>
      </c>
      <c r="I16" s="77">
        <v>46311</v>
      </c>
      <c r="J16" s="77">
        <v>46311</v>
      </c>
      <c r="K16" s="57" t="s">
        <v>7</v>
      </c>
      <c r="L16" s="57" t="s">
        <v>385</v>
      </c>
    </row>
    <row r="17" spans="1:12" s="56" customFormat="1" ht="32">
      <c r="A17" s="55" t="s">
        <v>27</v>
      </c>
      <c r="B17" s="88">
        <v>13</v>
      </c>
      <c r="C17" s="55" t="s">
        <v>386</v>
      </c>
      <c r="D17" s="55" t="s">
        <v>387</v>
      </c>
      <c r="E17" s="55" t="s">
        <v>24</v>
      </c>
      <c r="F17" s="55" t="s">
        <v>106</v>
      </c>
      <c r="G17" s="76">
        <v>46311</v>
      </c>
      <c r="H17" s="55" t="s">
        <v>106</v>
      </c>
      <c r="I17" s="76">
        <v>46311</v>
      </c>
      <c r="J17" s="76">
        <v>46311</v>
      </c>
      <c r="K17" s="55" t="s">
        <v>7</v>
      </c>
      <c r="L17" s="55" t="s">
        <v>388</v>
      </c>
    </row>
    <row r="18" spans="1:12" s="56" customFormat="1" ht="32">
      <c r="A18" s="57" t="s">
        <v>27</v>
      </c>
      <c r="B18" s="89">
        <v>14</v>
      </c>
      <c r="C18" s="57" t="s">
        <v>389</v>
      </c>
      <c r="D18" s="57" t="s">
        <v>390</v>
      </c>
      <c r="E18" s="57" t="s">
        <v>24</v>
      </c>
      <c r="F18" s="57" t="s">
        <v>106</v>
      </c>
      <c r="G18" s="77">
        <v>46311</v>
      </c>
      <c r="H18" s="57" t="s">
        <v>106</v>
      </c>
      <c r="I18" s="77">
        <v>46311</v>
      </c>
      <c r="J18" s="77">
        <v>46311</v>
      </c>
      <c r="K18" s="57" t="s">
        <v>7</v>
      </c>
      <c r="L18" s="57" t="s">
        <v>391</v>
      </c>
    </row>
    <row r="19" spans="1:12" s="56" customFormat="1" ht="32">
      <c r="A19" s="55" t="s">
        <v>27</v>
      </c>
      <c r="B19" s="88">
        <v>15</v>
      </c>
      <c r="C19" s="55" t="s">
        <v>392</v>
      </c>
      <c r="D19" s="55" t="s">
        <v>393</v>
      </c>
      <c r="E19" s="55" t="s">
        <v>24</v>
      </c>
      <c r="F19" s="55" t="s">
        <v>106</v>
      </c>
      <c r="G19" s="76">
        <v>46311</v>
      </c>
      <c r="H19" s="55" t="s">
        <v>106</v>
      </c>
      <c r="I19" s="76">
        <v>46311</v>
      </c>
      <c r="J19" s="76">
        <v>46311</v>
      </c>
      <c r="K19" s="55" t="s">
        <v>7</v>
      </c>
      <c r="L19" s="55" t="s">
        <v>394</v>
      </c>
    </row>
    <row r="20" spans="1:12" s="56" customFormat="1" ht="32">
      <c r="A20" s="57" t="s">
        <v>27</v>
      </c>
      <c r="B20" s="89">
        <v>16</v>
      </c>
      <c r="C20" s="57" t="s">
        <v>395</v>
      </c>
      <c r="D20" s="57" t="s">
        <v>396</v>
      </c>
      <c r="E20" s="57" t="s">
        <v>24</v>
      </c>
      <c r="F20" s="57" t="s">
        <v>106</v>
      </c>
      <c r="G20" s="77">
        <v>46311</v>
      </c>
      <c r="H20" s="57" t="s">
        <v>106</v>
      </c>
      <c r="I20" s="77">
        <v>46311</v>
      </c>
      <c r="J20" s="77">
        <v>46311</v>
      </c>
      <c r="K20" s="57" t="s">
        <v>7</v>
      </c>
      <c r="L20" s="57" t="s">
        <v>397</v>
      </c>
    </row>
    <row r="21" spans="1:12" s="56" customFormat="1">
      <c r="A21" s="55" t="s">
        <v>26</v>
      </c>
      <c r="B21" s="88">
        <v>17</v>
      </c>
      <c r="C21" s="55" t="s">
        <v>398</v>
      </c>
      <c r="D21" s="55" t="s">
        <v>399</v>
      </c>
      <c r="E21" s="55" t="s">
        <v>24</v>
      </c>
      <c r="F21" s="55" t="s">
        <v>106</v>
      </c>
      <c r="G21" s="76">
        <v>46311</v>
      </c>
      <c r="H21" s="55" t="s">
        <v>106</v>
      </c>
      <c r="I21" s="76">
        <v>46311</v>
      </c>
      <c r="J21" s="76">
        <v>46311</v>
      </c>
      <c r="K21" s="55" t="s">
        <v>7</v>
      </c>
      <c r="L21" s="55" t="s">
        <v>400</v>
      </c>
    </row>
    <row r="22" spans="1:12" s="56" customFormat="1" ht="32">
      <c r="A22" s="57" t="s">
        <v>26</v>
      </c>
      <c r="B22" s="89">
        <v>18</v>
      </c>
      <c r="C22" s="57" t="s">
        <v>401</v>
      </c>
      <c r="D22" s="57" t="s">
        <v>402</v>
      </c>
      <c r="E22" s="57" t="s">
        <v>22</v>
      </c>
      <c r="F22" s="57" t="s">
        <v>106</v>
      </c>
      <c r="G22" s="77">
        <v>46311</v>
      </c>
      <c r="H22" s="57" t="s">
        <v>106</v>
      </c>
      <c r="I22" s="77">
        <v>46311</v>
      </c>
      <c r="J22" s="77">
        <v>46311</v>
      </c>
      <c r="K22" s="57" t="s">
        <v>7</v>
      </c>
      <c r="L22" s="57" t="s">
        <v>403</v>
      </c>
    </row>
    <row r="23" spans="1:12" s="56" customFormat="1">
      <c r="A23" s="55" t="s">
        <v>26</v>
      </c>
      <c r="B23" s="88">
        <v>19</v>
      </c>
      <c r="C23" s="55" t="s">
        <v>404</v>
      </c>
      <c r="D23" s="55" t="s">
        <v>405</v>
      </c>
      <c r="E23" s="55" t="s">
        <v>24</v>
      </c>
      <c r="F23" s="55" t="s">
        <v>106</v>
      </c>
      <c r="G23" s="76">
        <v>46310</v>
      </c>
      <c r="H23" s="55" t="s">
        <v>106</v>
      </c>
      <c r="I23" s="76">
        <v>46310</v>
      </c>
      <c r="J23" s="76">
        <v>46310</v>
      </c>
      <c r="K23" s="55" t="s">
        <v>7</v>
      </c>
      <c r="L23" s="55" t="s">
        <v>406</v>
      </c>
    </row>
    <row r="24" spans="1:12" s="56" customFormat="1">
      <c r="A24" s="57"/>
      <c r="B24" s="89"/>
      <c r="C24" s="57"/>
      <c r="D24" s="57"/>
      <c r="E24" s="57"/>
      <c r="F24" s="57"/>
      <c r="G24" s="77"/>
      <c r="H24" s="57"/>
      <c r="I24" s="77"/>
      <c r="J24" s="77"/>
      <c r="K24" s="57"/>
      <c r="L24" s="57"/>
    </row>
    <row r="25" spans="1:12" s="56" customFormat="1">
      <c r="A25" s="55"/>
      <c r="B25" s="88"/>
      <c r="C25" s="55"/>
      <c r="D25" s="55"/>
      <c r="E25" s="55"/>
      <c r="F25" s="55"/>
      <c r="G25" s="76"/>
      <c r="H25" s="55"/>
      <c r="I25" s="76"/>
      <c r="J25" s="76"/>
      <c r="K25" s="55"/>
      <c r="L25" s="55"/>
    </row>
    <row r="26" spans="1:12" s="56" customFormat="1">
      <c r="A26" s="57"/>
      <c r="B26" s="89"/>
      <c r="C26" s="57"/>
      <c r="D26" s="57"/>
      <c r="E26" s="57"/>
      <c r="F26" s="57"/>
      <c r="G26" s="77"/>
      <c r="H26" s="57"/>
      <c r="I26" s="77"/>
      <c r="J26" s="77"/>
      <c r="K26" s="57"/>
      <c r="L26" s="57"/>
    </row>
    <row r="27" spans="1:12" s="56" customFormat="1">
      <c r="A27" s="55"/>
      <c r="B27" s="88"/>
      <c r="C27" s="55"/>
      <c r="D27" s="55"/>
      <c r="E27" s="55"/>
      <c r="F27" s="55"/>
      <c r="G27" s="76"/>
      <c r="H27" s="55"/>
      <c r="I27" s="76"/>
      <c r="J27" s="76"/>
      <c r="K27" s="55"/>
      <c r="L27" s="55"/>
    </row>
    <row r="28" spans="1:12" s="56" customFormat="1">
      <c r="A28" s="57"/>
      <c r="B28" s="89"/>
      <c r="C28" s="57"/>
      <c r="D28" s="57"/>
      <c r="E28" s="57"/>
      <c r="F28" s="57"/>
      <c r="G28" s="77"/>
      <c r="H28" s="57"/>
      <c r="I28" s="77"/>
      <c r="J28" s="77"/>
      <c r="K28" s="57"/>
      <c r="L28" s="57"/>
    </row>
    <row r="29" spans="1:12" s="56" customFormat="1">
      <c r="A29" s="55"/>
      <c r="B29" s="88"/>
      <c r="C29" s="55"/>
      <c r="D29" s="55"/>
      <c r="E29" s="55"/>
      <c r="F29" s="55"/>
      <c r="G29" s="76"/>
      <c r="H29" s="55"/>
      <c r="I29" s="76"/>
      <c r="J29" s="76"/>
      <c r="K29" s="55"/>
      <c r="L29" s="55"/>
    </row>
    <row r="30" spans="1:12" s="56" customFormat="1">
      <c r="A30" s="57"/>
      <c r="B30" s="89"/>
      <c r="C30" s="57"/>
      <c r="D30" s="57"/>
      <c r="E30" s="57"/>
      <c r="F30" s="57"/>
      <c r="G30" s="77"/>
      <c r="H30" s="57"/>
      <c r="I30" s="77"/>
      <c r="J30" s="77"/>
      <c r="K30" s="57"/>
      <c r="L30" s="57"/>
    </row>
    <row r="31" spans="1:12" s="56" customFormat="1">
      <c r="A31" s="55"/>
      <c r="B31" s="88"/>
      <c r="C31" s="55"/>
      <c r="D31" s="55"/>
      <c r="E31" s="55"/>
      <c r="F31" s="55"/>
      <c r="G31" s="76"/>
      <c r="H31" s="55"/>
      <c r="I31" s="76"/>
      <c r="J31" s="76"/>
      <c r="K31" s="55"/>
      <c r="L31" s="55"/>
    </row>
    <row r="32" spans="1:12" s="56" customFormat="1">
      <c r="A32" s="57"/>
      <c r="B32" s="89"/>
      <c r="C32" s="57"/>
      <c r="D32" s="57"/>
      <c r="E32" s="57"/>
      <c r="F32" s="57"/>
      <c r="G32" s="77"/>
      <c r="H32" s="57"/>
      <c r="I32" s="77"/>
      <c r="J32" s="77"/>
      <c r="K32" s="57"/>
      <c r="L32" s="57"/>
    </row>
    <row r="33" spans="1:12" s="56" customFormat="1">
      <c r="A33" s="55"/>
      <c r="B33" s="88"/>
      <c r="C33" s="55"/>
      <c r="D33" s="55"/>
      <c r="E33" s="55"/>
      <c r="F33" s="55"/>
      <c r="G33" s="76"/>
      <c r="H33" s="55"/>
      <c r="I33" s="76"/>
      <c r="J33" s="76"/>
      <c r="K33" s="55"/>
      <c r="L33" s="55"/>
    </row>
    <row r="34" spans="1:12" s="56" customFormat="1">
      <c r="A34" s="57"/>
      <c r="B34" s="89"/>
      <c r="C34" s="57"/>
      <c r="D34" s="57"/>
      <c r="E34" s="57"/>
      <c r="F34" s="57"/>
      <c r="G34" s="77"/>
      <c r="H34" s="57"/>
      <c r="I34" s="77"/>
      <c r="J34" s="78"/>
      <c r="K34" s="80"/>
      <c r="L34" s="57"/>
    </row>
    <row r="35" spans="1:12" s="56" customFormat="1">
      <c r="A35" s="55"/>
      <c r="B35" s="88"/>
      <c r="C35" s="55"/>
      <c r="D35" s="55"/>
      <c r="E35" s="55"/>
      <c r="F35" s="55"/>
      <c r="G35" s="76"/>
      <c r="H35" s="55"/>
      <c r="I35" s="76"/>
      <c r="J35" s="79"/>
      <c r="K35" s="81"/>
      <c r="L35" s="55"/>
    </row>
    <row r="36" spans="1:12" s="56" customFormat="1">
      <c r="A36" s="57"/>
      <c r="B36" s="89"/>
      <c r="C36" s="57"/>
      <c r="D36" s="57"/>
      <c r="E36" s="57"/>
      <c r="F36" s="57"/>
      <c r="G36" s="77"/>
      <c r="H36" s="57"/>
      <c r="I36" s="77"/>
      <c r="J36" s="77"/>
      <c r="K36" s="57"/>
      <c r="L36" s="57"/>
    </row>
    <row r="37" spans="1:12" s="56" customFormat="1">
      <c r="A37" s="55"/>
      <c r="B37" s="88"/>
      <c r="C37" s="55"/>
      <c r="D37" s="55"/>
      <c r="E37" s="55"/>
      <c r="F37" s="55"/>
      <c r="G37" s="76"/>
      <c r="H37" s="55"/>
      <c r="I37" s="76"/>
      <c r="J37" s="76"/>
      <c r="K37" s="55"/>
      <c r="L37" s="55"/>
    </row>
    <row r="38" spans="1:12" s="56" customFormat="1">
      <c r="A38" s="57"/>
      <c r="B38" s="89"/>
      <c r="C38" s="57"/>
      <c r="D38" s="57"/>
      <c r="E38" s="57"/>
      <c r="F38" s="57"/>
      <c r="G38" s="77"/>
      <c r="H38" s="57"/>
      <c r="I38" s="77"/>
      <c r="J38" s="77"/>
      <c r="K38" s="57"/>
      <c r="L38" s="57"/>
    </row>
    <row r="39" spans="1:12" ht="16.5" customHeight="1">
      <c r="A39" s="95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7"/>
    </row>
    <row r="40" spans="1:12" s="56" customFormat="1">
      <c r="A40" s="55"/>
      <c r="B40" s="88"/>
      <c r="C40" s="55"/>
      <c r="D40" s="55"/>
      <c r="E40" s="55"/>
      <c r="F40" s="55"/>
      <c r="G40" s="76"/>
      <c r="H40" s="55"/>
      <c r="I40" s="76"/>
      <c r="J40" s="76"/>
      <c r="K40" s="55"/>
      <c r="L40" s="55"/>
    </row>
    <row r="41" spans="1:12" s="56" customFormat="1">
      <c r="A41" s="57"/>
      <c r="B41" s="89"/>
      <c r="C41" s="57"/>
      <c r="D41" s="57"/>
      <c r="E41" s="57"/>
      <c r="F41" s="57"/>
      <c r="G41" s="77"/>
      <c r="H41" s="57"/>
      <c r="I41" s="77"/>
      <c r="J41" s="77"/>
      <c r="K41" s="57"/>
      <c r="L41" s="57"/>
    </row>
    <row r="42" spans="1:12" s="56" customFormat="1">
      <c r="A42" s="55"/>
      <c r="B42" s="88"/>
      <c r="C42" s="55"/>
      <c r="D42" s="55"/>
      <c r="E42" s="55"/>
      <c r="F42" s="55"/>
      <c r="G42" s="76"/>
      <c r="H42" s="55"/>
      <c r="I42" s="76"/>
      <c r="J42" s="76"/>
      <c r="K42" s="55"/>
      <c r="L42" s="55"/>
    </row>
    <row r="43" spans="1:12" s="56" customFormat="1">
      <c r="A43" s="57"/>
      <c r="B43" s="89"/>
      <c r="C43" s="57"/>
      <c r="D43" s="57"/>
      <c r="E43" s="57"/>
      <c r="F43" s="57"/>
      <c r="G43" s="77"/>
      <c r="H43" s="57"/>
      <c r="I43" s="77"/>
      <c r="J43" s="77"/>
      <c r="K43" s="57"/>
      <c r="L43" s="57"/>
    </row>
    <row r="44" spans="1:12" s="56" customFormat="1">
      <c r="A44" s="55"/>
      <c r="B44" s="88"/>
      <c r="C44" s="55"/>
      <c r="D44" s="55"/>
      <c r="E44" s="55"/>
      <c r="F44" s="55"/>
      <c r="G44" s="76"/>
      <c r="H44" s="55"/>
      <c r="I44" s="76"/>
      <c r="J44" s="76"/>
      <c r="K44" s="55"/>
      <c r="L44" s="55"/>
    </row>
    <row r="45" spans="1:12" s="56" customFormat="1">
      <c r="A45" s="57"/>
      <c r="B45" s="89"/>
      <c r="C45" s="57"/>
      <c r="D45" s="57"/>
      <c r="E45" s="57"/>
      <c r="F45" s="57"/>
      <c r="G45" s="77"/>
      <c r="H45" s="57"/>
      <c r="I45" s="77"/>
      <c r="J45" s="77"/>
      <c r="K45" s="57"/>
      <c r="L45" s="57"/>
    </row>
    <row r="46" spans="1:12" s="56" customFormat="1">
      <c r="A46" s="55"/>
      <c r="B46" s="88"/>
      <c r="C46" s="55"/>
      <c r="D46" s="55"/>
      <c r="E46" s="55"/>
      <c r="F46" s="55"/>
      <c r="G46" s="76"/>
      <c r="H46" s="55"/>
      <c r="I46" s="76"/>
      <c r="J46" s="76"/>
      <c r="K46" s="55"/>
      <c r="L46" s="55"/>
    </row>
    <row r="47" spans="1:12" s="56" customFormat="1">
      <c r="A47" s="57"/>
      <c r="B47" s="89"/>
      <c r="C47" s="57"/>
      <c r="D47" s="57"/>
      <c r="E47" s="57"/>
      <c r="F47" s="57"/>
      <c r="G47" s="77"/>
      <c r="H47" s="57"/>
      <c r="I47" s="77"/>
      <c r="J47" s="77"/>
      <c r="K47" s="57"/>
      <c r="L47" s="57"/>
    </row>
    <row r="48" spans="1:12" s="56" customFormat="1">
      <c r="A48" s="55"/>
      <c r="B48" s="88"/>
      <c r="C48" s="55"/>
      <c r="D48" s="55"/>
      <c r="E48" s="55"/>
      <c r="F48" s="55"/>
      <c r="G48" s="76"/>
      <c r="H48" s="55"/>
      <c r="I48" s="76"/>
      <c r="J48" s="76"/>
      <c r="K48" s="55"/>
      <c r="L48" s="55"/>
    </row>
    <row r="49" spans="1:12" s="56" customFormat="1">
      <c r="A49" s="57"/>
      <c r="B49" s="89"/>
      <c r="C49" s="57"/>
      <c r="D49" s="57"/>
      <c r="E49" s="57"/>
      <c r="F49" s="57"/>
      <c r="G49" s="77"/>
      <c r="H49" s="57"/>
      <c r="I49" s="77"/>
      <c r="J49" s="77"/>
      <c r="K49" s="57"/>
      <c r="L49" s="57"/>
    </row>
    <row r="50" spans="1:12" s="56" customFormat="1">
      <c r="A50" s="55"/>
      <c r="B50" s="88"/>
      <c r="C50" s="55"/>
      <c r="D50" s="55"/>
      <c r="E50" s="55"/>
      <c r="F50" s="55"/>
      <c r="G50" s="76"/>
      <c r="H50" s="55"/>
      <c r="I50" s="76"/>
      <c r="J50" s="76"/>
      <c r="K50" s="55"/>
      <c r="L50" s="55"/>
    </row>
    <row r="51" spans="1:12" s="56" customFormat="1">
      <c r="A51" s="57"/>
      <c r="B51" s="89"/>
      <c r="C51" s="57"/>
      <c r="D51" s="57"/>
      <c r="E51" s="57"/>
      <c r="F51" s="57"/>
      <c r="G51" s="77"/>
      <c r="H51" s="57"/>
      <c r="I51" s="77"/>
      <c r="J51" s="77"/>
      <c r="K51" s="57"/>
      <c r="L51" s="57"/>
    </row>
    <row r="52" spans="1:12" s="56" customFormat="1">
      <c r="A52" s="55"/>
      <c r="B52" s="88"/>
      <c r="C52" s="55"/>
      <c r="D52" s="55"/>
      <c r="E52" s="55"/>
      <c r="F52" s="55"/>
      <c r="G52" s="76"/>
      <c r="H52" s="55"/>
      <c r="I52" s="76"/>
      <c r="J52" s="76"/>
      <c r="K52" s="55"/>
      <c r="L52" s="55"/>
    </row>
    <row r="53" spans="1:12" s="56" customFormat="1">
      <c r="A53" s="57"/>
      <c r="B53" s="89"/>
      <c r="C53" s="57"/>
      <c r="D53" s="57"/>
      <c r="E53" s="57"/>
      <c r="F53" s="57"/>
      <c r="G53" s="77"/>
      <c r="H53" s="57"/>
      <c r="I53" s="77"/>
      <c r="J53" s="77"/>
      <c r="K53" s="57"/>
      <c r="L53" s="57"/>
    </row>
    <row r="54" spans="1:12" s="56" customFormat="1">
      <c r="A54" s="55"/>
      <c r="B54" s="88"/>
      <c r="C54" s="55"/>
      <c r="D54" s="55"/>
      <c r="E54" s="55"/>
      <c r="F54" s="55"/>
      <c r="G54" s="76"/>
      <c r="H54" s="55"/>
      <c r="I54" s="76"/>
      <c r="J54" s="76"/>
      <c r="K54" s="55"/>
      <c r="L54" s="55"/>
    </row>
    <row r="55" spans="1:12" s="56" customFormat="1">
      <c r="A55" s="57"/>
      <c r="B55" s="89"/>
      <c r="C55" s="57"/>
      <c r="D55" s="57"/>
      <c r="E55" s="57"/>
      <c r="F55" s="57"/>
      <c r="G55" s="77"/>
      <c r="H55" s="57"/>
      <c r="I55" s="77"/>
      <c r="J55" s="77"/>
      <c r="K55" s="57"/>
      <c r="L55" s="57"/>
    </row>
    <row r="56" spans="1:12" s="56" customFormat="1">
      <c r="A56" s="55"/>
      <c r="B56" s="88"/>
      <c r="C56" s="55"/>
      <c r="D56" s="55"/>
      <c r="E56" s="55"/>
      <c r="F56" s="55"/>
      <c r="G56" s="76"/>
      <c r="H56" s="55"/>
      <c r="I56" s="76"/>
      <c r="J56" s="76"/>
      <c r="K56" s="55"/>
      <c r="L56" s="55"/>
    </row>
    <row r="57" spans="1:12" s="56" customFormat="1">
      <c r="A57" s="57"/>
      <c r="B57" s="89"/>
      <c r="C57" s="57"/>
      <c r="D57" s="57"/>
      <c r="E57" s="57"/>
      <c r="F57" s="57"/>
      <c r="G57" s="77"/>
      <c r="H57" s="57"/>
      <c r="I57" s="77"/>
      <c r="J57" s="77"/>
      <c r="K57" s="57"/>
      <c r="L57" s="57"/>
    </row>
    <row r="58" spans="1:12" s="56" customFormat="1">
      <c r="A58" s="55"/>
      <c r="B58" s="88"/>
      <c r="C58" s="55"/>
      <c r="D58" s="55"/>
      <c r="E58" s="55"/>
      <c r="F58" s="55"/>
      <c r="G58" s="76"/>
      <c r="H58" s="55"/>
      <c r="I58" s="76"/>
      <c r="J58" s="76"/>
      <c r="K58" s="55"/>
      <c r="L58" s="55"/>
    </row>
    <row r="59" spans="1:12" s="56" customFormat="1">
      <c r="A59" s="57"/>
      <c r="B59" s="89"/>
      <c r="C59" s="57"/>
      <c r="D59" s="57"/>
      <c r="E59" s="57"/>
      <c r="F59" s="57"/>
      <c r="G59" s="77"/>
      <c r="H59" s="57"/>
      <c r="I59" s="77"/>
      <c r="J59" s="77"/>
      <c r="K59" s="57"/>
      <c r="L59" s="57"/>
    </row>
    <row r="60" spans="1:12" s="56" customFormat="1">
      <c r="A60" s="55"/>
      <c r="B60" s="88"/>
      <c r="C60" s="55"/>
      <c r="D60" s="55"/>
      <c r="E60" s="55"/>
      <c r="F60" s="55"/>
      <c r="G60" s="76"/>
      <c r="H60" s="55"/>
      <c r="I60" s="76"/>
      <c r="J60" s="76"/>
      <c r="K60" s="55"/>
      <c r="L60" s="55"/>
    </row>
    <row r="61" spans="1:12" s="56" customFormat="1">
      <c r="A61" s="57"/>
      <c r="B61" s="89"/>
      <c r="C61" s="57"/>
      <c r="D61" s="57"/>
      <c r="E61" s="57"/>
      <c r="F61" s="57"/>
      <c r="G61" s="77"/>
      <c r="H61" s="57"/>
      <c r="I61" s="77"/>
      <c r="J61" s="77"/>
      <c r="K61" s="57"/>
      <c r="L61" s="57"/>
    </row>
    <row r="62" spans="1:12" s="56" customFormat="1">
      <c r="A62" s="55"/>
      <c r="B62" s="88"/>
      <c r="C62" s="55"/>
      <c r="D62" s="55"/>
      <c r="E62" s="55"/>
      <c r="F62" s="55"/>
      <c r="G62" s="76"/>
      <c r="H62" s="55"/>
      <c r="I62" s="76"/>
      <c r="J62" s="76"/>
      <c r="K62" s="55"/>
      <c r="L62" s="55"/>
    </row>
    <row r="63" spans="1:12" s="56" customFormat="1">
      <c r="A63" s="57"/>
      <c r="B63" s="89"/>
      <c r="C63" s="57"/>
      <c r="D63" s="57"/>
      <c r="E63" s="57"/>
      <c r="F63" s="57"/>
      <c r="G63" s="77"/>
      <c r="H63" s="57"/>
      <c r="I63" s="77"/>
      <c r="J63" s="77"/>
      <c r="K63" s="57"/>
      <c r="L63" s="57"/>
    </row>
    <row r="64" spans="1:12" s="56" customFormat="1">
      <c r="A64" s="55"/>
      <c r="B64" s="88"/>
      <c r="C64" s="55"/>
      <c r="D64" s="55"/>
      <c r="E64" s="55"/>
      <c r="F64" s="55"/>
      <c r="G64" s="76"/>
      <c r="H64" s="55"/>
      <c r="I64" s="76"/>
      <c r="J64" s="76"/>
      <c r="K64" s="55"/>
      <c r="L64" s="55"/>
    </row>
    <row r="65" spans="1:12" s="56" customFormat="1">
      <c r="A65" s="57"/>
      <c r="B65" s="89"/>
      <c r="C65" s="57"/>
      <c r="D65" s="57"/>
      <c r="E65" s="57"/>
      <c r="F65" s="57"/>
      <c r="G65" s="77"/>
      <c r="H65" s="57"/>
      <c r="I65" s="77"/>
      <c r="J65" s="77"/>
      <c r="K65" s="57"/>
      <c r="L65" s="57"/>
    </row>
    <row r="66" spans="1:12" s="56" customFormat="1">
      <c r="A66" s="55"/>
      <c r="B66" s="88"/>
      <c r="C66" s="55"/>
      <c r="D66" s="55"/>
      <c r="E66" s="55"/>
      <c r="F66" s="55"/>
      <c r="G66" s="76"/>
      <c r="H66" s="55"/>
      <c r="I66" s="76"/>
      <c r="J66" s="76"/>
      <c r="K66" s="55"/>
      <c r="L66" s="55"/>
    </row>
    <row r="67" spans="1:12" s="56" customFormat="1">
      <c r="A67" s="57"/>
      <c r="B67" s="89"/>
      <c r="C67" s="57"/>
      <c r="D67" s="57"/>
      <c r="E67" s="57"/>
      <c r="F67" s="57"/>
      <c r="G67" s="77"/>
      <c r="H67" s="57"/>
      <c r="I67" s="77"/>
      <c r="J67" s="77"/>
      <c r="K67" s="57"/>
      <c r="L67" s="57"/>
    </row>
    <row r="68" spans="1:12" s="56" customFormat="1">
      <c r="A68" s="55"/>
      <c r="B68" s="88"/>
      <c r="C68" s="55"/>
      <c r="D68" s="55"/>
      <c r="E68" s="55"/>
      <c r="F68" s="55"/>
      <c r="G68" s="76"/>
      <c r="H68" s="55"/>
      <c r="I68" s="76"/>
      <c r="J68" s="76"/>
      <c r="K68" s="55"/>
      <c r="L68" s="55"/>
    </row>
    <row r="69" spans="1:12" s="56" customFormat="1">
      <c r="A69" s="57"/>
      <c r="B69" s="89"/>
      <c r="C69" s="57"/>
      <c r="D69" s="57"/>
      <c r="E69" s="57"/>
      <c r="F69" s="57"/>
      <c r="G69" s="77"/>
      <c r="H69" s="57"/>
      <c r="I69" s="77"/>
      <c r="J69" s="77"/>
      <c r="K69" s="57"/>
      <c r="L69" s="57"/>
    </row>
    <row r="70" spans="1:12" s="56" customFormat="1">
      <c r="A70" s="55"/>
      <c r="B70" s="88"/>
      <c r="C70" s="55"/>
      <c r="D70" s="55"/>
      <c r="E70" s="55"/>
      <c r="F70" s="55"/>
      <c r="G70" s="76"/>
      <c r="H70" s="55"/>
      <c r="I70" s="76"/>
      <c r="J70" s="76"/>
      <c r="K70" s="55"/>
      <c r="L70" s="55"/>
    </row>
    <row r="71" spans="1:12" s="56" customFormat="1">
      <c r="A71" s="57"/>
      <c r="B71" s="89"/>
      <c r="C71" s="57"/>
      <c r="D71" s="57"/>
      <c r="E71" s="57"/>
      <c r="F71" s="57"/>
      <c r="G71" s="77"/>
      <c r="H71" s="57"/>
      <c r="I71" s="77"/>
      <c r="J71" s="77"/>
      <c r="K71" s="57"/>
      <c r="L71" s="57"/>
    </row>
    <row r="72" spans="1:12" s="56" customFormat="1">
      <c r="A72" s="55"/>
      <c r="B72" s="88"/>
      <c r="C72" s="55"/>
      <c r="D72" s="55"/>
      <c r="E72" s="55"/>
      <c r="F72" s="55"/>
      <c r="G72" s="76"/>
      <c r="H72" s="55"/>
      <c r="I72" s="76"/>
      <c r="J72" s="76"/>
      <c r="K72" s="55"/>
      <c r="L72" s="55"/>
    </row>
    <row r="73" spans="1:12" s="56" customFormat="1">
      <c r="A73" s="57"/>
      <c r="B73" s="89"/>
      <c r="C73" s="57"/>
      <c r="D73" s="57"/>
      <c r="E73" s="57"/>
      <c r="F73" s="57"/>
      <c r="G73" s="77"/>
      <c r="H73" s="57"/>
      <c r="I73" s="77"/>
      <c r="J73" s="77"/>
      <c r="K73" s="57"/>
      <c r="L73" s="57"/>
    </row>
    <row r="74" spans="1:12" s="56" customFormat="1">
      <c r="A74" s="55"/>
      <c r="B74" s="88"/>
      <c r="C74" s="55"/>
      <c r="D74" s="55"/>
      <c r="E74" s="55"/>
      <c r="F74" s="55"/>
      <c r="G74" s="76"/>
      <c r="H74" s="55"/>
      <c r="I74" s="76"/>
      <c r="J74" s="76"/>
      <c r="K74" s="55"/>
      <c r="L74" s="55"/>
    </row>
    <row r="75" spans="1:12" s="56" customFormat="1">
      <c r="A75" s="57"/>
      <c r="B75" s="89"/>
      <c r="C75" s="57"/>
      <c r="D75" s="57"/>
      <c r="E75" s="57"/>
      <c r="F75" s="57"/>
      <c r="G75" s="77"/>
      <c r="H75" s="57"/>
      <c r="I75" s="77"/>
      <c r="J75" s="77"/>
      <c r="K75" s="57"/>
      <c r="L75" s="57"/>
    </row>
    <row r="76" spans="1:12" s="56" customFormat="1">
      <c r="A76" s="55"/>
      <c r="B76" s="88"/>
      <c r="C76" s="55"/>
      <c r="D76" s="55"/>
      <c r="E76" s="55"/>
      <c r="F76" s="55"/>
      <c r="G76" s="76"/>
      <c r="H76" s="55"/>
      <c r="I76" s="76"/>
      <c r="J76" s="76"/>
      <c r="K76" s="55"/>
      <c r="L76" s="55"/>
    </row>
    <row r="77" spans="1:12" s="56" customFormat="1">
      <c r="A77" s="57"/>
      <c r="B77" s="89"/>
      <c r="C77" s="57"/>
      <c r="D77" s="57"/>
      <c r="E77" s="57"/>
      <c r="F77" s="57"/>
      <c r="G77" s="77"/>
      <c r="H77" s="57"/>
      <c r="I77" s="77"/>
      <c r="J77" s="77"/>
      <c r="K77" s="57"/>
      <c r="L77" s="57"/>
    </row>
    <row r="78" spans="1:12" s="56" customFormat="1">
      <c r="A78" s="55"/>
      <c r="B78" s="88"/>
      <c r="C78" s="55"/>
      <c r="D78" s="55"/>
      <c r="E78" s="55"/>
      <c r="F78" s="55"/>
      <c r="G78" s="76"/>
      <c r="H78" s="55"/>
      <c r="I78" s="76"/>
      <c r="J78" s="76"/>
      <c r="K78" s="55"/>
      <c r="L78" s="55"/>
    </row>
    <row r="79" spans="1:12" s="56" customFormat="1">
      <c r="A79" s="57"/>
      <c r="B79" s="89"/>
      <c r="C79" s="57"/>
      <c r="D79" s="57"/>
      <c r="E79" s="57"/>
      <c r="F79" s="57"/>
      <c r="G79" s="77"/>
      <c r="H79" s="57"/>
      <c r="I79" s="77"/>
      <c r="J79" s="77"/>
      <c r="K79" s="57"/>
      <c r="L79" s="57"/>
    </row>
    <row r="80" spans="1:12" s="56" customFormat="1">
      <c r="A80" s="55"/>
      <c r="B80" s="88"/>
      <c r="C80" s="55"/>
      <c r="D80" s="55"/>
      <c r="E80" s="55"/>
      <c r="F80" s="55"/>
      <c r="G80" s="76"/>
      <c r="H80" s="55"/>
      <c r="I80" s="76"/>
      <c r="J80" s="76"/>
      <c r="K80" s="55"/>
      <c r="L80" s="55"/>
    </row>
    <row r="81" spans="1:12" s="56" customFormat="1">
      <c r="A81" s="57"/>
      <c r="B81" s="89"/>
      <c r="C81" s="57"/>
      <c r="D81" s="57"/>
      <c r="E81" s="57"/>
      <c r="F81" s="57"/>
      <c r="G81" s="77"/>
      <c r="H81" s="57"/>
      <c r="I81" s="77"/>
      <c r="J81" s="77"/>
      <c r="K81" s="57"/>
      <c r="L81" s="57"/>
    </row>
    <row r="82" spans="1:12" s="56" customFormat="1">
      <c r="A82" s="55"/>
      <c r="B82" s="88"/>
      <c r="C82" s="55"/>
      <c r="D82" s="55"/>
      <c r="E82" s="55"/>
      <c r="F82" s="55"/>
      <c r="G82" s="76"/>
      <c r="H82" s="55"/>
      <c r="I82" s="76"/>
      <c r="J82" s="76"/>
      <c r="K82" s="55"/>
      <c r="L82" s="55"/>
    </row>
    <row r="83" spans="1:12" s="56" customFormat="1">
      <c r="A83" s="57"/>
      <c r="B83" s="89"/>
      <c r="C83" s="57"/>
      <c r="D83" s="57"/>
      <c r="E83" s="57"/>
      <c r="F83" s="57"/>
      <c r="G83" s="77"/>
      <c r="H83" s="57"/>
      <c r="I83" s="77"/>
      <c r="J83" s="77"/>
      <c r="K83" s="57"/>
      <c r="L83" s="57"/>
    </row>
    <row r="84" spans="1:12" s="56" customFormat="1">
      <c r="A84" s="55"/>
      <c r="B84" s="88"/>
      <c r="C84" s="55"/>
      <c r="D84" s="55"/>
      <c r="E84" s="55"/>
      <c r="F84" s="55"/>
      <c r="G84" s="76"/>
      <c r="H84" s="55"/>
      <c r="I84" s="76"/>
      <c r="J84" s="76"/>
      <c r="K84" s="55"/>
      <c r="L84" s="55"/>
    </row>
    <row r="85" spans="1:12" s="56" customFormat="1">
      <c r="A85" s="57"/>
      <c r="B85" s="89"/>
      <c r="C85" s="57"/>
      <c r="D85" s="57"/>
      <c r="E85" s="57"/>
      <c r="F85" s="57"/>
      <c r="G85" s="77"/>
      <c r="H85" s="57"/>
      <c r="I85" s="77"/>
      <c r="J85" s="77"/>
      <c r="K85" s="57"/>
      <c r="L85" s="57"/>
    </row>
    <row r="86" spans="1:12" ht="16.5" customHeight="1">
      <c r="A86" s="95"/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7"/>
    </row>
    <row r="87" spans="1:12" s="56" customFormat="1">
      <c r="A87" s="55"/>
      <c r="B87" s="88"/>
      <c r="C87" s="55"/>
      <c r="D87" s="55"/>
      <c r="E87" s="55"/>
      <c r="F87" s="55"/>
      <c r="G87" s="76"/>
      <c r="H87" s="55"/>
      <c r="I87" s="76"/>
      <c r="J87" s="76"/>
      <c r="K87" s="76"/>
      <c r="L87" s="55"/>
    </row>
    <row r="88" spans="1:12" s="56" customFormat="1">
      <c r="A88" s="57"/>
      <c r="B88" s="89"/>
      <c r="C88" s="57"/>
      <c r="D88" s="57"/>
      <c r="E88" s="57"/>
      <c r="F88" s="57"/>
      <c r="G88" s="77"/>
      <c r="H88" s="57"/>
      <c r="I88" s="77"/>
      <c r="J88" s="77"/>
      <c r="K88" s="77"/>
      <c r="L88" s="57"/>
    </row>
    <row r="89" spans="1:12" s="56" customFormat="1">
      <c r="A89" s="55"/>
      <c r="B89" s="88"/>
      <c r="C89" s="55"/>
      <c r="D89" s="55"/>
      <c r="E89" s="55"/>
      <c r="F89" s="55"/>
      <c r="G89" s="76"/>
      <c r="H89" s="55"/>
      <c r="I89" s="76"/>
      <c r="J89" s="76"/>
      <c r="K89" s="76"/>
      <c r="L89" s="55"/>
    </row>
    <row r="90" spans="1:12" s="56" customFormat="1">
      <c r="A90" s="57"/>
      <c r="B90" s="89"/>
      <c r="C90" s="57"/>
      <c r="D90" s="57"/>
      <c r="E90" s="57"/>
      <c r="F90" s="57"/>
      <c r="G90" s="77"/>
      <c r="H90" s="57"/>
      <c r="I90" s="77"/>
      <c r="J90" s="77"/>
      <c r="K90" s="77"/>
      <c r="L90" s="57"/>
    </row>
    <row r="91" spans="1:12" s="56" customFormat="1">
      <c r="A91" s="55"/>
      <c r="B91" s="88"/>
      <c r="C91" s="55"/>
      <c r="D91" s="55"/>
      <c r="E91" s="55"/>
      <c r="F91" s="55"/>
      <c r="G91" s="76"/>
      <c r="H91" s="55"/>
      <c r="I91" s="76"/>
      <c r="J91" s="76"/>
      <c r="K91" s="76"/>
      <c r="L91" s="55"/>
    </row>
    <row r="92" spans="1:12" s="56" customFormat="1">
      <c r="A92" s="57"/>
      <c r="B92" s="89"/>
      <c r="C92" s="57"/>
      <c r="D92" s="57"/>
      <c r="E92" s="57"/>
      <c r="F92" s="57"/>
      <c r="G92" s="77"/>
      <c r="H92" s="57"/>
      <c r="I92" s="77"/>
      <c r="J92" s="77"/>
      <c r="K92" s="77"/>
      <c r="L92" s="57"/>
    </row>
    <row r="93" spans="1:12" s="56" customFormat="1">
      <c r="A93" s="55"/>
      <c r="B93" s="88"/>
      <c r="C93" s="55"/>
      <c r="D93" s="55"/>
      <c r="E93" s="55"/>
      <c r="F93" s="55"/>
      <c r="G93" s="76"/>
      <c r="H93" s="55"/>
      <c r="I93" s="76"/>
      <c r="J93" s="76"/>
      <c r="K93" s="76"/>
      <c r="L93" s="55"/>
    </row>
    <row r="94" spans="1:12" s="56" customFormat="1">
      <c r="A94" s="57"/>
      <c r="B94" s="89"/>
      <c r="C94" s="57"/>
      <c r="D94" s="57"/>
      <c r="E94" s="57"/>
      <c r="F94" s="57"/>
      <c r="G94" s="77"/>
      <c r="H94" s="57"/>
      <c r="I94" s="77"/>
      <c r="J94" s="77"/>
      <c r="K94" s="77"/>
      <c r="L94" s="57"/>
    </row>
    <row r="95" spans="1:12" s="56" customFormat="1">
      <c r="A95" s="55"/>
      <c r="B95" s="88"/>
      <c r="C95" s="55"/>
      <c r="D95" s="55"/>
      <c r="E95" s="55"/>
      <c r="F95" s="55"/>
      <c r="G95" s="76"/>
      <c r="H95" s="55"/>
      <c r="I95" s="76"/>
      <c r="J95" s="76"/>
      <c r="K95" s="76"/>
      <c r="L95" s="55"/>
    </row>
    <row r="96" spans="1:12" s="56" customFormat="1">
      <c r="A96" s="57"/>
      <c r="B96" s="89"/>
      <c r="C96" s="57"/>
      <c r="D96" s="57"/>
      <c r="E96" s="57"/>
      <c r="F96" s="57"/>
      <c r="G96" s="77"/>
      <c r="H96" s="57"/>
      <c r="I96" s="77"/>
      <c r="J96" s="77"/>
      <c r="K96" s="77"/>
      <c r="L96" s="57"/>
    </row>
    <row r="97" spans="1:12" s="56" customFormat="1">
      <c r="A97" s="55"/>
      <c r="B97" s="88"/>
      <c r="C97" s="55"/>
      <c r="D97" s="55"/>
      <c r="E97" s="55"/>
      <c r="F97" s="55"/>
      <c r="G97" s="76"/>
      <c r="H97" s="55"/>
      <c r="I97" s="76"/>
      <c r="J97" s="76"/>
      <c r="K97" s="77"/>
      <c r="L97" s="55"/>
    </row>
    <row r="98" spans="1:12" s="56" customFormat="1">
      <c r="A98" s="57"/>
      <c r="B98" s="89"/>
      <c r="C98" s="57"/>
      <c r="D98" s="57"/>
      <c r="E98" s="57"/>
      <c r="F98" s="57"/>
      <c r="G98" s="77"/>
      <c r="H98" s="57"/>
      <c r="I98" s="77"/>
      <c r="J98" s="77"/>
      <c r="K98" s="77"/>
      <c r="L98" s="57"/>
    </row>
    <row r="99" spans="1:12" s="56" customFormat="1">
      <c r="A99" s="55"/>
      <c r="B99" s="88"/>
      <c r="C99" s="55"/>
      <c r="D99" s="55"/>
      <c r="E99" s="55"/>
      <c r="F99" s="55"/>
      <c r="G99" s="76"/>
      <c r="H99" s="55"/>
      <c r="I99" s="76"/>
      <c r="J99" s="76"/>
      <c r="K99" s="76"/>
      <c r="L99" s="55"/>
    </row>
    <row r="100" spans="1:12" s="56" customFormat="1">
      <c r="A100" s="57"/>
      <c r="B100" s="89"/>
      <c r="C100" s="57"/>
      <c r="D100" s="57"/>
      <c r="E100" s="57"/>
      <c r="F100" s="57"/>
      <c r="G100" s="77"/>
      <c r="H100" s="57"/>
      <c r="I100" s="77"/>
      <c r="J100" s="77"/>
      <c r="K100" s="77"/>
      <c r="L100" s="57"/>
    </row>
    <row r="101" spans="1:12" s="56" customFormat="1">
      <c r="A101" s="55"/>
      <c r="B101" s="88"/>
      <c r="C101" s="55"/>
      <c r="D101" s="55"/>
      <c r="E101" s="55"/>
      <c r="F101" s="55"/>
      <c r="G101" s="76"/>
      <c r="H101" s="55"/>
      <c r="I101" s="76"/>
      <c r="J101" s="76"/>
      <c r="K101" s="76"/>
      <c r="L101" s="55"/>
    </row>
    <row r="102" spans="1:12" s="56" customFormat="1">
      <c r="A102" s="57"/>
      <c r="B102" s="89"/>
      <c r="C102" s="57"/>
      <c r="D102" s="57"/>
      <c r="E102" s="57"/>
      <c r="F102" s="57"/>
      <c r="G102" s="77"/>
      <c r="H102" s="57"/>
      <c r="I102" s="77"/>
      <c r="J102" s="77"/>
      <c r="K102" s="77"/>
      <c r="L102" s="57"/>
    </row>
    <row r="103" spans="1:12" s="56" customFormat="1">
      <c r="A103" s="55"/>
      <c r="B103" s="88"/>
      <c r="C103" s="55"/>
      <c r="D103" s="55"/>
      <c r="E103" s="55"/>
      <c r="F103" s="55"/>
      <c r="G103" s="76"/>
      <c r="H103" s="55"/>
      <c r="I103" s="76"/>
      <c r="J103" s="76"/>
      <c r="K103" s="76"/>
      <c r="L103" s="55"/>
    </row>
    <row r="104" spans="1:12" s="56" customFormat="1">
      <c r="A104" s="57"/>
      <c r="B104" s="89"/>
      <c r="C104" s="57"/>
      <c r="D104" s="57"/>
      <c r="E104" s="57"/>
      <c r="F104" s="57"/>
      <c r="G104" s="77"/>
      <c r="H104" s="57"/>
      <c r="I104" s="77"/>
      <c r="J104" s="77"/>
      <c r="K104" s="77"/>
      <c r="L104" s="57"/>
    </row>
    <row r="105" spans="1:12" s="56" customFormat="1">
      <c r="A105" s="55"/>
      <c r="B105" s="88"/>
      <c r="C105" s="55"/>
      <c r="D105" s="55"/>
      <c r="E105" s="55"/>
      <c r="F105" s="55"/>
      <c r="G105" s="76"/>
      <c r="H105" s="55"/>
      <c r="I105" s="76"/>
      <c r="J105" s="76"/>
      <c r="K105" s="76"/>
      <c r="L105" s="55"/>
    </row>
    <row r="106" spans="1:12" s="56" customFormat="1">
      <c r="A106" s="57"/>
      <c r="B106" s="89"/>
      <c r="C106" s="57"/>
      <c r="D106" s="57"/>
      <c r="E106" s="57"/>
      <c r="F106" s="57"/>
      <c r="G106" s="77"/>
      <c r="H106" s="57"/>
      <c r="I106" s="77"/>
      <c r="J106" s="77"/>
      <c r="K106" s="77"/>
      <c r="L106" s="57"/>
    </row>
    <row r="107" spans="1:12" ht="16.5" customHeight="1">
      <c r="A107" s="95"/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7"/>
    </row>
    <row r="108" spans="1:12" s="56" customFormat="1">
      <c r="A108" s="55"/>
      <c r="B108" s="88"/>
      <c r="C108" s="55"/>
      <c r="D108" s="55"/>
      <c r="E108" s="55"/>
      <c r="F108" s="55"/>
      <c r="G108" s="76"/>
      <c r="H108" s="55"/>
      <c r="I108" s="76"/>
      <c r="J108" s="76"/>
      <c r="K108" s="76"/>
      <c r="L108" s="55"/>
    </row>
    <row r="109" spans="1:12" s="56" customFormat="1">
      <c r="A109" s="57"/>
      <c r="B109" s="89"/>
      <c r="C109" s="57"/>
      <c r="D109" s="57"/>
      <c r="E109" s="57"/>
      <c r="F109" s="57"/>
      <c r="G109" s="77"/>
      <c r="H109" s="57"/>
      <c r="I109" s="77"/>
      <c r="J109" s="77"/>
      <c r="K109" s="77"/>
      <c r="L109" s="57"/>
    </row>
    <row r="110" spans="1:12" s="56" customFormat="1">
      <c r="A110" s="55"/>
      <c r="B110" s="88"/>
      <c r="C110" s="55"/>
      <c r="D110" s="55"/>
      <c r="E110" s="55"/>
      <c r="F110" s="55"/>
      <c r="G110" s="76"/>
      <c r="H110" s="55"/>
      <c r="I110" s="76"/>
      <c r="J110" s="76"/>
      <c r="K110" s="76"/>
      <c r="L110" s="55"/>
    </row>
    <row r="111" spans="1:12" s="56" customFormat="1">
      <c r="A111" s="57"/>
      <c r="B111" s="89"/>
      <c r="C111" s="57"/>
      <c r="D111" s="57"/>
      <c r="E111" s="57"/>
      <c r="F111" s="57"/>
      <c r="G111" s="77"/>
      <c r="H111" s="57"/>
      <c r="I111" s="77"/>
      <c r="J111" s="77"/>
      <c r="K111" s="77"/>
      <c r="L111" s="57"/>
    </row>
    <row r="112" spans="1:12" s="56" customFormat="1">
      <c r="A112" s="55"/>
      <c r="B112" s="88"/>
      <c r="C112" s="55"/>
      <c r="D112" s="55"/>
      <c r="E112" s="55"/>
      <c r="F112" s="55"/>
      <c r="G112" s="76"/>
      <c r="H112" s="55"/>
      <c r="I112" s="76"/>
      <c r="J112" s="76"/>
      <c r="K112" s="76"/>
      <c r="L112" s="55"/>
    </row>
    <row r="113" spans="1:12" s="56" customFormat="1">
      <c r="A113" s="57"/>
      <c r="B113" s="89"/>
      <c r="C113" s="57"/>
      <c r="D113" s="57"/>
      <c r="E113" s="57"/>
      <c r="F113" s="57"/>
      <c r="G113" s="77"/>
      <c r="H113" s="57"/>
      <c r="I113" s="77"/>
      <c r="J113" s="77"/>
      <c r="K113" s="77"/>
      <c r="L113" s="57"/>
    </row>
    <row r="114" spans="1:12" s="56" customFormat="1">
      <c r="A114" s="55"/>
      <c r="B114" s="88"/>
      <c r="C114" s="55"/>
      <c r="D114" s="55"/>
      <c r="E114" s="55"/>
      <c r="F114" s="55"/>
      <c r="G114" s="76"/>
      <c r="H114" s="55"/>
      <c r="I114" s="76"/>
      <c r="J114" s="76"/>
      <c r="K114" s="76"/>
      <c r="L114" s="55"/>
    </row>
    <row r="115" spans="1:12" s="56" customFormat="1">
      <c r="A115" s="57"/>
      <c r="B115" s="89"/>
      <c r="C115" s="57"/>
      <c r="D115" s="57"/>
      <c r="E115" s="57"/>
      <c r="F115" s="57"/>
      <c r="G115" s="77"/>
      <c r="H115" s="57"/>
      <c r="I115" s="77"/>
      <c r="J115" s="77"/>
      <c r="K115" s="77"/>
      <c r="L115" s="57"/>
    </row>
    <row r="116" spans="1:12" s="56" customFormat="1">
      <c r="A116" s="55"/>
      <c r="B116" s="88"/>
      <c r="C116" s="55"/>
      <c r="D116" s="55"/>
      <c r="E116" s="55"/>
      <c r="F116" s="55"/>
      <c r="G116" s="76"/>
      <c r="H116" s="55"/>
      <c r="I116" s="76"/>
      <c r="J116" s="76"/>
      <c r="K116" s="76"/>
      <c r="L116" s="55"/>
    </row>
    <row r="117" spans="1:12" s="56" customFormat="1">
      <c r="A117" s="57"/>
      <c r="B117" s="89"/>
      <c r="C117" s="57"/>
      <c r="D117" s="57"/>
      <c r="E117" s="57"/>
      <c r="F117" s="57"/>
      <c r="G117" s="77"/>
      <c r="H117" s="57"/>
      <c r="I117" s="77"/>
      <c r="J117" s="77"/>
      <c r="K117" s="77"/>
      <c r="L117" s="57"/>
    </row>
    <row r="118" spans="1:12" s="56" customFormat="1">
      <c r="A118" s="55"/>
      <c r="B118" s="88"/>
      <c r="C118" s="55"/>
      <c r="D118" s="55"/>
      <c r="E118" s="55"/>
      <c r="F118" s="55"/>
      <c r="G118" s="76"/>
      <c r="H118" s="55"/>
      <c r="I118" s="76"/>
      <c r="J118" s="76"/>
      <c r="K118" s="77"/>
      <c r="L118" s="55"/>
    </row>
    <row r="119" spans="1:12" s="56" customFormat="1">
      <c r="A119" s="57"/>
      <c r="B119" s="89"/>
      <c r="C119" s="57"/>
      <c r="D119" s="57"/>
      <c r="E119" s="57"/>
      <c r="F119" s="57"/>
      <c r="G119" s="77"/>
      <c r="H119" s="57"/>
      <c r="I119" s="77"/>
      <c r="J119" s="77"/>
      <c r="K119" s="77"/>
      <c r="L119" s="57"/>
    </row>
    <row r="120" spans="1:12" s="56" customFormat="1">
      <c r="A120" s="55"/>
      <c r="B120" s="88"/>
      <c r="C120" s="55"/>
      <c r="D120" s="55"/>
      <c r="E120" s="55"/>
      <c r="F120" s="55"/>
      <c r="G120" s="76"/>
      <c r="H120" s="55"/>
      <c r="I120" s="76"/>
      <c r="J120" s="76"/>
      <c r="K120" s="76"/>
      <c r="L120" s="55"/>
    </row>
    <row r="121" spans="1:12" s="56" customFormat="1">
      <c r="A121" s="57"/>
      <c r="B121" s="89"/>
      <c r="C121" s="57"/>
      <c r="D121" s="57"/>
      <c r="E121" s="57"/>
      <c r="F121" s="57"/>
      <c r="G121" s="77"/>
      <c r="H121" s="57"/>
      <c r="I121" s="77"/>
      <c r="J121" s="77"/>
      <c r="K121" s="77"/>
      <c r="L121" s="57"/>
    </row>
    <row r="122" spans="1:12" s="56" customFormat="1">
      <c r="A122" s="55"/>
      <c r="B122" s="88"/>
      <c r="C122" s="55"/>
      <c r="D122" s="55"/>
      <c r="E122" s="55"/>
      <c r="F122" s="55"/>
      <c r="G122" s="76"/>
      <c r="H122" s="55"/>
      <c r="I122" s="76"/>
      <c r="J122" s="76"/>
      <c r="K122" s="76"/>
      <c r="L122" s="55"/>
    </row>
    <row r="123" spans="1:12" s="56" customFormat="1">
      <c r="A123" s="57"/>
      <c r="B123" s="89"/>
      <c r="C123" s="57"/>
      <c r="D123" s="57"/>
      <c r="E123" s="57"/>
      <c r="F123" s="57"/>
      <c r="G123" s="77"/>
      <c r="H123" s="57"/>
      <c r="I123" s="77"/>
      <c r="J123" s="77"/>
      <c r="K123" s="77"/>
      <c r="L123" s="57"/>
    </row>
    <row r="124" spans="1:12" s="56" customFormat="1">
      <c r="A124" s="55"/>
      <c r="B124" s="88"/>
      <c r="C124" s="55"/>
      <c r="D124" s="55"/>
      <c r="E124" s="55"/>
      <c r="F124" s="55"/>
      <c r="G124" s="76"/>
      <c r="H124" s="55"/>
      <c r="I124" s="76"/>
      <c r="J124" s="76"/>
      <c r="K124" s="76"/>
      <c r="L124" s="55"/>
    </row>
    <row r="125" spans="1:12" s="56" customFormat="1">
      <c r="A125" s="57"/>
      <c r="B125" s="89"/>
      <c r="C125" s="57"/>
      <c r="D125" s="57"/>
      <c r="E125" s="57"/>
      <c r="F125" s="57"/>
      <c r="G125" s="77"/>
      <c r="H125" s="57"/>
      <c r="I125" s="77"/>
      <c r="J125" s="77"/>
      <c r="K125" s="77"/>
      <c r="L125" s="57"/>
    </row>
    <row r="126" spans="1:12" s="56" customFormat="1">
      <c r="A126" s="55"/>
      <c r="B126" s="88"/>
      <c r="C126" s="55"/>
      <c r="D126" s="55"/>
      <c r="E126" s="55"/>
      <c r="F126" s="55"/>
      <c r="G126" s="76"/>
      <c r="H126" s="57"/>
      <c r="I126" s="76"/>
      <c r="J126" s="76"/>
      <c r="K126" s="76"/>
      <c r="L126" s="55"/>
    </row>
    <row r="127" spans="1:12" s="56" customFormat="1">
      <c r="A127" s="57"/>
      <c r="B127" s="89"/>
      <c r="C127" s="57"/>
      <c r="D127" s="57"/>
      <c r="E127" s="57"/>
      <c r="F127" s="57"/>
      <c r="G127" s="77"/>
      <c r="H127" s="57"/>
      <c r="I127" s="77"/>
      <c r="J127" s="77"/>
      <c r="K127" s="77"/>
      <c r="L127" s="57"/>
    </row>
    <row r="128" spans="1:12" s="56" customFormat="1">
      <c r="A128" s="55"/>
      <c r="B128" s="88"/>
      <c r="C128" s="55"/>
      <c r="D128" s="55"/>
      <c r="E128" s="55"/>
      <c r="F128" s="55"/>
      <c r="G128" s="76"/>
      <c r="H128" s="55"/>
      <c r="I128" s="76"/>
      <c r="J128" s="76"/>
      <c r="K128" s="76"/>
      <c r="L128" s="55"/>
    </row>
    <row r="129" spans="1:12" s="56" customFormat="1">
      <c r="A129" s="57"/>
      <c r="B129" s="89"/>
      <c r="C129" s="57"/>
      <c r="D129" s="57"/>
      <c r="E129" s="57"/>
      <c r="F129" s="57"/>
      <c r="G129" s="77"/>
      <c r="H129" s="57"/>
      <c r="I129" s="77"/>
      <c r="J129" s="77"/>
      <c r="K129" s="77"/>
      <c r="L129" s="57"/>
    </row>
    <row r="130" spans="1:12" s="56" customFormat="1">
      <c r="A130" s="55"/>
      <c r="B130" s="88"/>
      <c r="C130" s="55"/>
      <c r="D130" s="55"/>
      <c r="E130" s="55"/>
      <c r="F130" s="55"/>
      <c r="G130" s="76"/>
      <c r="H130" s="55"/>
      <c r="I130" s="76"/>
      <c r="J130" s="76"/>
      <c r="K130" s="76"/>
      <c r="L130" s="55"/>
    </row>
    <row r="131" spans="1:12" s="56" customFormat="1">
      <c r="A131" s="57"/>
      <c r="B131" s="89"/>
      <c r="C131" s="57"/>
      <c r="D131" s="57"/>
      <c r="E131" s="57"/>
      <c r="F131" s="57"/>
      <c r="G131" s="77"/>
      <c r="H131" s="57"/>
      <c r="I131" s="77"/>
      <c r="J131" s="77"/>
      <c r="K131" s="77"/>
      <c r="L131" s="57"/>
    </row>
  </sheetData>
  <sortState xmlns:xlrd2="http://schemas.microsoft.com/office/spreadsheetml/2017/richdata2" ref="B50:L62">
    <sortCondition ref="C50:C62"/>
  </sortState>
  <phoneticPr fontId="30" type="noConversion"/>
  <dataValidations count="2">
    <dataValidation type="list" allowBlank="1" showInputMessage="1" showErrorMessage="1" sqref="K40:K85 K5:K38 K87:K106 K108:K131" xr:uid="{A7DC457C-7BA9-46FD-AFDD-BC9E51BB0847}">
      <formula1>" ,진행중,완료"</formula1>
    </dataValidation>
    <dataValidation type="list" allowBlank="1" showInputMessage="1" showErrorMessage="1" sqref="E5:E38 E84:E85 E40:E80 E87:E106 E108:E131" xr:uid="{E0832E1B-1C4D-4D54-902F-F491FA956403}">
      <formula1>"오류,수정,추가,검토"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8B873AD-A7B4-4E54-8C1A-C9D485DCC9C7}">
          <x14:formula1>
            <xm:f>LOV!$D$3:$D$5</xm:f>
          </x14:formula1>
          <xm:sqref>A5:A38 A40:A85 A87:A106</xm:sqref>
        </x14:dataValidation>
        <x14:dataValidation type="list" allowBlank="1" showInputMessage="1" showErrorMessage="1" xr:uid="{B200AF9F-66FB-4D86-8EFA-729446B230CA}">
          <x14:formula1>
            <xm:f>LOV!$D$3:$D$6</xm:f>
          </x14:formula1>
          <xm:sqref>A108:A131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55e9163-e205-4f55-8724-e062aa2d762e">
      <Terms xmlns="http://schemas.microsoft.com/office/infopath/2007/PartnerControls"/>
    </lcf76f155ced4ddcb4097134ff3c332f>
    <TaxCatchAll xmlns="b82e25f1-f1d4-4b57-be84-1f5ad188becc" xsi:nil="true"/>
  </documentManagement>
</p:properties>
</file>

<file path=customXml/item2.xml><?xml version="1.0" encoding="utf-8"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5F9ABE2E9073F4DBEFD3A0E4E804736" ma:contentTypeVersion="15" ma:contentTypeDescription="새 문서를 만듭니다." ma:contentTypeScope="" ma:versionID="e21f2c0381dcdb676ff4d058d9391828">
  <xsd:schema xmlns:xsd="http://www.w3.org/2001/XMLSchema" xmlns:xs="http://www.w3.org/2001/XMLSchema" xmlns:p="http://schemas.microsoft.com/office/2006/metadata/properties" xmlns:ns2="355e9163-e205-4f55-8724-e062aa2d762e" xmlns:ns3="b82e25f1-f1d4-4b57-be84-1f5ad188becc" targetNamespace="http://schemas.microsoft.com/office/2006/metadata/properties" ma:root="true" ma:fieldsID="74ede542eddc1547cf48ce9271227341" ns2:_="" ns3:_="">
    <xsd:import namespace="355e9163-e205-4f55-8724-e062aa2d762e"/>
    <xsd:import namespace="b82e25f1-f1d4-4b57-be84-1f5ad188be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5e9163-e205-4f55-8724-e062aa2d76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이미지 태그" ma:readOnly="false" ma:fieldId="{5cf76f15-5ced-4ddc-b409-7134ff3c332f}" ma:taxonomyMulti="true" ma:sspId="3f2f8e18-fefb-41ea-b0db-811a3a7d8f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2e25f1-f1d4-4b57-be84-1f5ad188bec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1401ad1-5c0b-4d77-a325-ccf9a4e0c0df}" ma:internalName="TaxCatchAll" ma:showField="CatchAllData" ma:web="b82e25f1-f1d4-4b57-be84-1f5ad188be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4945DC-F2EC-4FA1-9FED-44C14AFD68C7}">
  <ds:schemaRefs>
    <ds:schemaRef ds:uri="http://schemas.microsoft.com/office/2006/metadata/properties"/>
    <ds:schemaRef ds:uri="http://schemas.microsoft.com/office/infopath/2007/PartnerControls"/>
    <ds:schemaRef ds:uri="355e9163-e205-4f55-8724-e062aa2d762e"/>
    <ds:schemaRef ds:uri="b82e25f1-f1d4-4b57-be84-1f5ad188becc"/>
  </ds:schemaRefs>
</ds:datastoreItem>
</file>

<file path=customXml/itemProps2.xml><?xml version="1.0" encoding="utf-8"?>
<ds:datastoreItem xmlns:ds="http://schemas.openxmlformats.org/officeDocument/2006/customXml" ds:itemID="{418FC364-5D1D-4139-96C0-59534BD84D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AD5F7D-B2A1-44B1-ADEC-D6D3F0B82D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5e9163-e205-4f55-8724-e062aa2d762e"/>
    <ds:schemaRef ds:uri="b82e25f1-f1d4-4b57-be84-1f5ad188be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1</vt:i4>
      </vt:variant>
    </vt:vector>
  </HeadingPairs>
  <TitlesOfParts>
    <vt:vector size="8" baseType="lpstr">
      <vt:lpstr>테스트 요약</vt:lpstr>
      <vt:lpstr>결과 요약</vt:lpstr>
      <vt:lpstr>프로세스별 결과</vt:lpstr>
      <vt:lpstr>통합테스트 시나리오</vt:lpstr>
      <vt:lpstr>LOV</vt:lpstr>
      <vt:lpstr>I-F 테스트 결과</vt:lpstr>
      <vt:lpstr>수정사항관리</vt:lpstr>
      <vt:lpstr>진행결과</vt:lpstr>
    </vt:vector>
  </TitlesOfParts>
  <Manager>Windmillsoft</Manager>
  <Company>Windmillsoft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Windmillsoft</dc:creator>
  <cp:keywords/>
  <dc:description/>
  <cp:lastModifiedBy>이학민(Edwin)</cp:lastModifiedBy>
  <cp:revision>0</cp:revision>
  <dcterms:created xsi:type="dcterms:W3CDTF">2026-04-09T05:26:34Z</dcterms:created>
  <dcterms:modified xsi:type="dcterms:W3CDTF">2026-10-18T13:16:05Z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0x01010065F9ABE2E9073F4DBEFD3A0E4E804736</vt:lpwstr>
  </property>
  <property fmtid="{D5CDD505-2E9C-101B-9397-08002B2CF9AE}" pid="3" name="MediaServiceImageTags">
    <vt:lpwstr/>
  </property>
</Properties>
</file>