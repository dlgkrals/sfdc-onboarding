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ject\my-first-project\docs\산출물\"/>
    </mc:Choice>
  </mc:AlternateContent>
  <xr:revisionPtr revIDLastSave="0" documentId="8_{8C505E87-AD10-4ABD-9C30-11D0E6A46D30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단위 테스트 요약" sheetId="1" r:id="rId1"/>
    <sheet name="수정 사항 관리" sheetId="2" r:id="rId2"/>
    <sheet name="홈" sheetId="17" r:id="rId3"/>
    <sheet name="가상 착신·접수" sheetId="18" r:id="rId4"/>
    <sheet name="장비 검색" sheetId="19" r:id="rId5"/>
    <sheet name="고객사·사업장 등록" sheetId="20" r:id="rId6"/>
    <sheet name="기사 배정·재배정" sheetId="21" r:id="rId7"/>
    <sheet name="출동·사용 부품" sheetId="22" r:id="rId8"/>
    <sheet name="승인 요청·승인·반려" sheetId="23" r:id="rId9"/>
    <sheet name="재고 이동" sheetId="24" r:id="rId10"/>
    <sheet name="접수 취소·종결" sheetId="25" r:id="rId11"/>
    <sheet name="출동 이력" sheetId="26" r:id="rId12"/>
    <sheet name="ERP 연동" sheetId="27" r:id="rId13"/>
    <sheet name="리포트·대시보드" sheetId="28" r:id="rId14"/>
    <sheet name="LOV" sheetId="16" state="hidden" r:id="rId15"/>
    <sheet name="자동 테스트(Apex) 결과·커버리지" sheetId="29" r:id="rId16"/>
  </sheets>
  <definedNames>
    <definedName name="_xlnm._FilterDatabase" localSheetId="1" hidden="1">'수정 사항 관리'!$A$1:$K$37</definedName>
    <definedName name="진행결과">LOV!$B$3:$B$6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<sst xmlns="http://schemas.openxmlformats.org/spreadsheetml/2006/main" count="3194" uniqueCount="1716">
  <si>
    <t>전체 테스트 요약</t>
  </si>
  <si>
    <t>프로젝트명</t>
  </si>
  <si>
    <t>작성일</t>
  </si>
  <si>
    <t>Category</t>
  </si>
  <si>
    <t>메뉴</t>
  </si>
  <si>
    <t>하위 메뉴</t>
  </si>
  <si>
    <t>단위테스트 시나리오 작성</t>
  </si>
  <si>
    <t>담당자</t>
  </si>
  <si>
    <t>Test 진행 상황 (수정 상황)</t>
  </si>
  <si>
    <t>진행율</t>
  </si>
  <si>
    <t>홈</t>
  </si>
  <si>
    <t>TEST 계정정보</t>
  </si>
  <si>
    <t>Role</t>
  </si>
  <si>
    <t>UserName</t>
  </si>
  <si>
    <t>PassWord</t>
  </si>
  <si>
    <t>결함 및 수정 사항 요약</t>
    <phoneticPr fontId="1" type="noConversion"/>
  </si>
  <si>
    <t>구분</t>
    <phoneticPr fontId="1" type="noConversion"/>
  </si>
  <si>
    <t>세부 항목 구분</t>
    <phoneticPr fontId="1" type="noConversion"/>
  </si>
  <si>
    <t>수정(결함) 요청 건수</t>
    <phoneticPr fontId="1" type="noConversion"/>
  </si>
  <si>
    <t>처리 완료 건수</t>
    <phoneticPr fontId="1" type="noConversion"/>
  </si>
  <si>
    <t>진행율</t>
    <phoneticPr fontId="1" type="noConversion"/>
  </si>
  <si>
    <t>수정</t>
    <phoneticPr fontId="1" type="noConversion"/>
  </si>
  <si>
    <t>오류</t>
    <phoneticPr fontId="1" type="noConversion"/>
  </si>
  <si>
    <t>수정 (변경)</t>
    <phoneticPr fontId="1" type="noConversion"/>
  </si>
  <si>
    <t>추가</t>
    <phoneticPr fontId="1" type="noConversion"/>
  </si>
  <si>
    <t>검토</t>
    <phoneticPr fontId="1" type="noConversion"/>
  </si>
  <si>
    <t>단위 테스트 수정 사항 관리</t>
    <phoneticPr fontId="1" type="noConversion"/>
  </si>
  <si>
    <t>버전</t>
  </si>
  <si>
    <t>작성자</t>
  </si>
  <si>
    <t>No.</t>
  </si>
  <si>
    <t>메뉴 (발생 단계)</t>
    <phoneticPr fontId="1" type="noConversion"/>
  </si>
  <si>
    <t>상세 요청 내용</t>
  </si>
  <si>
    <t>결함 유형</t>
    <phoneticPr fontId="1" type="noConversion"/>
  </si>
  <si>
    <t>요청자</t>
  </si>
  <si>
    <t>요청일자</t>
  </si>
  <si>
    <t>담당자</t>
    <phoneticPr fontId="1" type="noConversion"/>
  </si>
  <si>
    <t>완료 예정일자</t>
    <phoneticPr fontId="1" type="noConversion"/>
  </si>
  <si>
    <t>처리완료일자</t>
  </si>
  <si>
    <t>상태</t>
    <phoneticPr fontId="1" type="noConversion"/>
  </si>
  <si>
    <t>비고</t>
  </si>
  <si>
    <t>완료</t>
  </si>
  <si>
    <t>단위 테스트 (Unit Test) 시나리오</t>
  </si>
  <si>
    <t>No</t>
  </si>
  <si>
    <t>모듈(메뉴)명</t>
  </si>
  <si>
    <t>테스트 항목</t>
  </si>
  <si>
    <t>케이스 ID</t>
  </si>
  <si>
    <t>테스트 시나리오 (목적 및 확인 포인트)</t>
  </si>
  <si>
    <t>사전 조건</t>
  </si>
  <si>
    <t>입력 데이터 (샘플)</t>
  </si>
  <si>
    <t>기대 결과</t>
  </si>
  <si>
    <t>실제 결과</t>
  </si>
  <si>
    <t>Pass/Fail</t>
  </si>
  <si>
    <t>Pass</t>
  </si>
  <si>
    <t>Fail</t>
  </si>
  <si>
    <t>In Progress</t>
  </si>
  <si>
    <t>한결공조 AS 관리 시스템</t>
    <phoneticPr fontId="1" type="noConversion"/>
  </si>
  <si>
    <t>2026-10-19</t>
  </si>
  <si>
    <t>2026-10-19</t>
    <phoneticPr fontId="12" type="noConversion"/>
  </si>
  <si>
    <t>v1.2</t>
    <phoneticPr fontId="12" type="noConversion"/>
  </si>
  <si>
    <t>Edwin</t>
  </si>
  <si>
    <t>홈 &gt; 상담원</t>
  </si>
  <si>
    <t>상담원 홈 구성</t>
  </si>
  <si>
    <t>UT-HOM-001</t>
  </si>
  <si>
    <t>상담원으로 로그인하면 상담원 홈(안내·오늘 내가 받은 접수·긴급 접수(진행 중)·반복 고장 장비)이 열리는지 확인한다.</t>
  </si>
  <si>
    <t>• 이서연(HG 콜센터 상담원) 로그인</t>
  </si>
  <si>
    <t>• 사용자: 이서연</t>
  </si>
  <si>
    <t>• 안내 한 줄 + [장비 검색 열기] 링크 • 목록 3개(오늘 내가 받은 접수·긴급 접수(진행 중)·반복 고장 장비)</t>
  </si>
  <si>
    <t>정상 작동 (2026-10-16 Edwin 화면 확인)</t>
  </si>
  <si>
    <t>SC-01 · 역할별 시작 화면</t>
  </si>
  <si>
    <t>홈 &gt; 센터장</t>
  </si>
  <si>
    <t>센터장 홈 순서</t>
  </si>
  <si>
    <t>UT-HOM-002</t>
  </si>
  <si>
    <t>센터장 홈이 일 순서대로(안내 → 배정 대기 → 재배정 필요 → 승인할 항목 → 종결 대기 → 센터 차트) 비어 있어도 모두 보이는지 확인한다.</t>
  </si>
  <si>
    <t>• 김병철(HG 센터장) 로그인</t>
  </si>
  <si>
    <t>• 사용자: 김병철</t>
  </si>
  <si>
    <t>• 6개 영역이 위 순서로 표시 • 빈 목록도 카드 표시</t>
  </si>
  <si>
    <t>SC-07</t>
  </si>
  <si>
    <t>홈 &gt; 기사</t>
  </si>
  <si>
    <t>기사 홈 구성</t>
  </si>
  <si>
    <t>UT-HOM-003</t>
  </si>
  <si>
    <t>기사 홈에 내 출동(배정·수락·도착)과 내 차량 재고만 보이고 리포트·대시보드 탭이 없는지 확인한다.</t>
  </si>
  <si>
    <t>• 최민호(HG 협력 기사) 로그인</t>
  </si>
  <si>
    <t>• 사용자: 최민호</t>
  </si>
  <si>
    <t>• 내 출동(16건) · 내 차량 재고(7종) • 리포트·대시보드 탭 없음</t>
  </si>
  <si>
    <t>SC-08 · SC-15</t>
  </si>
  <si>
    <t>홈 &gt; 관리자</t>
  </si>
  <si>
    <t>관리자 홈 구성</t>
  </si>
  <si>
    <t>UT-HOM-004</t>
  </si>
  <si>
    <t>관리자 홈에 ERP 실패·확인 필요(사용 부품·재고 이동), ERP 통신 실패·거부 포함, 운영 대시보드가 보이는지 확인한다.</t>
  </si>
  <si>
    <t>• 관리자(이학민) 로그인</t>
  </si>
  <si>
    <t>• 사용자: 이학민</t>
  </si>
  <si>
    <t>• 목록 3개 0건 • 대시보드 "서비스 운영 현황"</t>
  </si>
  <si>
    <t>SC-12</t>
  </si>
  <si>
    <t>[장비 검색 열기] 바로가기</t>
  </si>
  <si>
    <t>UT-HOM-005</t>
  </si>
  <si>
    <t>상담원 홈 안내의 [장비 검색 열기]를 누르면 장비 검색 탭이 열리는지 확인한다.</t>
  </si>
  <si>
    <t>• 이서연 로그인</t>
  </si>
  <si>
    <t>• 링크 클릭</t>
  </si>
  <si>
    <t>• 장비 검색 화면 열림</t>
  </si>
  <si>
    <t>SC-01</t>
  </si>
  <si>
    <t>홈 &gt; 공통</t>
  </si>
  <si>
    <t>목록 최신순</t>
  </si>
  <si>
    <t>UT-HOM-006</t>
  </si>
  <si>
    <t>접수를 새로 저장하면 상담원 홈 "긴급 접수(진행 중)" 맨 위에 보이는지(최신순) 확인한다.</t>
  </si>
  <si>
    <t>• 이서연 로그인 • 목록 정렬 = 접수 번호 내림차순(사용자별 설정)</t>
  </si>
  <si>
    <t>• 가상 착신 010-8358-1081 + 0019 → 접수 저장</t>
  </si>
  <si>
    <t>• 새 접수가 목록 맨 위 • [더 보기] 없이 보임</t>
  </si>
  <si>
    <t>2026-10-18 수정 사항</t>
  </si>
  <si>
    <t>접수 &gt; 가상 착신</t>
  </si>
  <si>
    <t>발신 번호로 고객·장비 확정</t>
  </si>
  <si>
    <t>UT-CTI-001</t>
  </si>
  <si>
    <t>발신 번호·IVR 증상·시리얼 뒤 4자리를 넣고 [전화 연결]하면 고객사·사업장·장비가 채워진 접수 작성 팝업이 열리는지 확인한다.</t>
  </si>
  <si>
    <t>• 이서연 로그인 • 평택 2창고 현장 번호 등록</t>
  </si>
  <si>
    <t>• 발신 번호: 010-1111-2001 • IVR 증상: 소음 • 시리얼 뒤 4자리: 0001</t>
  </si>
  <si>
    <t>• 고객사 (주)한빛물류 · 사업장 평택 2창고 · 장비 HG25CH500-0001 자동 선택</t>
  </si>
  <si>
    <t>정상 작동 (2026-10-18 Edwin 화면 확인)</t>
  </si>
  <si>
    <t>접수 &gt; 접수 작성</t>
  </si>
  <si>
    <t>고객사·사업장 카드</t>
  </si>
  <si>
    <t>UT-CTI-002</t>
  </si>
  <si>
    <t>팝업 오른쪽 카드에 고객사 거래 상태(미수 주의)와 사업장 용도(긴급 용도)가 표시되는지 확인한다.</t>
  </si>
  <si>
    <t>• UT-CTI-001 이어서</t>
  </si>
  <si>
    <t>• (주)한빛물류 거래 상태 미수 주의 · 평택 2창고 냉동창고</t>
  </si>
  <si>
    <t>• 미수 주의 배지 · 긴급 용도 배지 · 사업장 수 3 · 장비 수 5 · 종결 전 접수 수</t>
  </si>
  <si>
    <t>제목 기본값</t>
  </si>
  <si>
    <t>UT-CTI-003</t>
  </si>
  <si>
    <t>제목이 "{증상} · {사업장} · {시리얼}"로 채워지고, 직접 고치면 장비를 바꿔도 고친 값이 유지되는지 확인한다.</t>
  </si>
  <si>
    <t>• 증상: 소음</t>
  </si>
  <si>
    <t>• 제목 "소음 · 평택 2창고 · HG25CH500-0001" • 직접 수정 후 유지</t>
  </si>
  <si>
    <t>종결 전 접수 경고</t>
  </si>
  <si>
    <t>UT-CTI-004</t>
  </si>
  <si>
    <t>고른 장비에 종결되지 않은 접수가 있으면 경고와 [기존 접수 열기](새 탭)가 보이고 저장은 막지 않는지 확인한다.</t>
  </si>
  <si>
    <t>• [시연/중복 접수] 1벌 00001976(처리 중, 출동 00000071) 존재</t>
  </si>
  <si>
    <t>• 발신 번호: 010-1111-2001 + 0001 • 2벌: 010-4273-6900 + 0042</t>
  </si>
  <si>
    <t>• "이 장비에 종결되지 않은 접수가 N건 있습니다…" • [기존 접수 열기] 새 탭 • [접수 저장] 가능</t>
  </si>
  <si>
    <t>BR-11</t>
  </si>
  <si>
    <t>긴급 자동 지정</t>
  </si>
  <si>
    <t>UT-CTI-005</t>
  </si>
  <si>
    <t>서버실·냉동창고 사업장의 접수를 저장하면 중요도가 긴급으로 지정되고 긴급 접수 목록에 보이는지 확인한다.</t>
  </si>
  <si>
    <t>• 서버실: 010-8358-1081 + 0019(우성콜드체인 지점) • 냉동창고: 010-4588-2188 + 0003(동해물류 1공장)</t>
  </si>
  <si>
    <t>• 사업장 카드 "긴급 용도" • 저장 후 중요도 긴급 • 상담원 홈 "긴급 접수(진행 중)"</t>
  </si>
  <si>
    <t>저장 → 센터 Queue</t>
  </si>
  <si>
    <t>UT-CTI-006</t>
  </si>
  <si>
    <t>[접수 저장] 시 경로 전화·발신 번호가 저장되고 소유자가 서비스센터 Queue가 되는지 확인한다.</t>
  </si>
  <si>
    <t>• [접수 저장]</t>
  </si>
  <si>
    <t>• 소유자 "경기남부·인천센터 접수" • 경로 전화 • 발신 번호 010-1111-2001</t>
  </si>
  <si>
    <t>정상 작동 (2026-10-15 Edwin 화면 확인)</t>
  </si>
  <si>
    <t>기사에게는 안내만</t>
  </si>
  <si>
    <t>UT-CTI-007</t>
  </si>
  <si>
    <t>접수 권한이 없는 기사가 [가상 착신]을 열면 입력 없이 안내만 보이는지 확인한다.</t>
  </si>
  <si>
    <t>• 최민호 로그인</t>
  </si>
  <si>
    <t>• 유틸리티 바 [가상 착신]</t>
  </si>
  <si>
    <t>• "사용할 수 없음" 안내 · 입력 칸 없음</t>
  </si>
  <si>
    <t>대표 번호 → 사업장 후보</t>
  </si>
  <si>
    <t>UT-CTI-008</t>
  </si>
  <si>
    <t>고객사 대표 번호로 걸려 오면 사업장 후보 중에서 고르게 하는지 확인한다.</t>
  </si>
  <si>
    <t>• 발신 번호: 031-600-1000((주)한빛물류 대표) • 시리얼: # (모름)</t>
  </si>
  <si>
    <t>• 사업장 선택(후보 3) · 장비 후보 표시 · 자동 확정 없음</t>
  </si>
  <si>
    <t>찾지 못한 번호</t>
  </si>
  <si>
    <t>UT-CTI-009</t>
  </si>
  <si>
    <t>등록되지 않은 번호면 빈 팝업에서 고객사·장비를 검색해 고르는지 확인한다.</t>
  </si>
  <si>
    <t>• 발신 번호: 010-0000-0000</t>
  </si>
  <si>
    <t>• "찾지 못함" 안내 · 고객사 검색으로 선택 가능</t>
  </si>
  <si>
    <t>접수 &gt; 장비 요약</t>
  </si>
  <si>
    <t>[이 장비로 접수]</t>
  </si>
  <si>
    <t>UT-CTI-010</t>
  </si>
  <si>
    <t>장비 요약 팝업의 [이 장비로 접수]로 열면 장비만 채워진 같은 팝업이 열리는지 확인한다.</t>
  </si>
  <si>
    <t>• 장비 검색 → HG-HAC300-2202-0047 → [이 장비로 접수]</t>
  </si>
  <si>
    <t>• 고객사 라온카페 · 사업장 라온카페 · 장비 채움 · 통화 요약 없음</t>
  </si>
  <si>
    <t>장비 검색</t>
  </si>
  <si>
    <t>검색어로 찾기</t>
  </si>
  <si>
    <t>UT-AST-001</t>
  </si>
  <si>
    <t>검색어 2글자 이상이면 고객사·사업장·시리얼로 장비가 검색되는지 확인한다.</t>
  </si>
  <si>
    <t>• 검색어: 한빛</t>
  </si>
  <si>
    <t>• (주)한빛물류 장비 5대 표시 · 1글자는 검색 안 함</t>
  </si>
  <si>
    <t>반복 고장 장비만</t>
  </si>
  <si>
    <t>UT-AST-002</t>
  </si>
  <si>
    <t>"반복 고장 장비만 보기"를 켜면 반복 고장 장비만 경고 배지와 함께 보이는지 확인한다.</t>
  </si>
  <si>
    <t>• 반복 고장 장비만 보기 켬</t>
  </si>
  <si>
    <t>• HG-HAC300-2202-0063 · HG-HAC800-2502-0004 표시 · 반복 고장 배지</t>
  </si>
  <si>
    <t>BR-14</t>
  </si>
  <si>
    <t>열 정렬</t>
  </si>
  <si>
    <t>UT-AST-003</t>
  </si>
  <si>
    <t>열 머리글을 누르면 서버 정렬로 다시 조회되는지 확인한다.</t>
  </si>
  <si>
    <t>• "마지막 접수일" 머리글 2번</t>
  </si>
  <si>
    <t>• 오름·내림 정렬 · 쪽 이동 유지</t>
  </si>
  <si>
    <t>장비 검색 &gt; 장비 요약</t>
  </si>
  <si>
    <t>장비 요약 팝업</t>
  </si>
  <si>
    <t>UT-AST-004</t>
  </si>
  <si>
    <t>시리얼을 누르면 보증 배지·접수 이력 5건·[닫기]/[장비 열기]/[이 장비로 접수]가 있는 요약 팝업이 열리는지 확인한다.</t>
  </si>
  <si>
    <t>• 시리얼: HG25CH500-0001</t>
  </si>
  <si>
    <t>• 보증 중 배지 · 접수 이력(13) 중 5건 · 버튼 3개</t>
  </si>
  <si>
    <t>[장비 열기]</t>
  </si>
  <si>
    <t>UT-AST-005</t>
  </si>
  <si>
    <t>[장비 열기]를 누르면 장비 상세 화면으로 이동하는지 확인한다.</t>
  </si>
  <si>
    <t>• UT-AST-004 이어서</t>
  </si>
  <si>
    <t>• [장비 열기]</t>
  </si>
  <si>
    <t>• 장비 레코드 페이지(장비 카드·접수 이력·출동 요약·출동 이력)</t>
  </si>
  <si>
    <t>SC-04</t>
  </si>
  <si>
    <t>고객사 &gt; 새로 만들기</t>
  </si>
  <si>
    <t>법인 등록</t>
  </si>
  <si>
    <t>UT-ACC-001</t>
  </si>
  <si>
    <t>고객 유형 법인으로 등록하면 사업자등록번호·청구 담당 이메일이 필요하고 저장되는지 확인한다.</t>
  </si>
  <si>
    <t>• 유형: 법인 • 이름: (테스트) 한결상사 • 사업자번호: 1234567890 • 이메일: test@hangyeol.kr</t>
  </si>
  <si>
    <t>• 저장 → 새 고객사 화면</t>
  </si>
  <si>
    <t>BR-15</t>
  </si>
  <si>
    <t>사업자번호 형식</t>
  </si>
  <si>
    <t>UT-ACC-002</t>
  </si>
  <si>
    <t>사업자등록번호가 숫자 10자리가 아니면 저장을 막는지 확인한다.</t>
  </si>
  <si>
    <t>• 사업자번호: 123456789(9자리)</t>
  </si>
  <si>
    <t>• "사업자등록번호는 숫자 10자리로 입력하세요."</t>
  </si>
  <si>
    <t>개인 유형</t>
  </si>
  <si>
    <t>UT-ACC-003</t>
  </si>
  <si>
    <t>고객 유형 개인이면 사업자등록번호 칸이 숨겨지는지 확인한다.</t>
  </si>
  <si>
    <t>• 유형: 개인</t>
  </si>
  <si>
    <t>• 사업자등록번호 칸 없음 · 저장 가능</t>
  </si>
  <si>
    <t>사업장 &gt; 새로 만들기</t>
  </si>
  <si>
    <t>주소 검색 → 센터 자동</t>
  </si>
  <si>
    <t>UT-ACC-004</t>
  </si>
  <si>
    <t>사업장 등록에서 도로명주소를 검색해 고르면 저장 시 서비스센터가 자동 지정되는지 확인한다.</t>
  </si>
  <si>
    <t>• 이서연 로그인 • 도로명주소 승인키 입력됨</t>
  </si>
  <si>
    <t>• 고객사: (주)한빛물류 • 주소 검색: 판교역로 166 • 상세주소: 3층</t>
  </si>
  <si>
    <t>• 서비스센터 경기남부·인천센터 자동 · 센터 칸은 고를 수 없음</t>
  </si>
  <si>
    <t>SC-02 · IF-07</t>
  </si>
  <si>
    <t>주소 검색 없이 저장</t>
  </si>
  <si>
    <t>UT-ACC-005</t>
  </si>
  <si>
    <t>주소 검색 없이 저장하면 거부하는지 확인한다.</t>
  </si>
  <si>
    <t>• 주소 칸 비움</t>
  </si>
  <si>
    <t>• "주소 검색으로 주소를 선택해 주세요"</t>
  </si>
  <si>
    <t>사업장 &gt; 주소 검색</t>
  </si>
  <si>
    <t>빠른 작업 [주소 검색]</t>
  </si>
  <si>
    <t>UT-ACC-006</t>
  </si>
  <si>
    <t>사업장의 [주소 검색]으로 주소를 바꾸면 서비스센터가 다시 지정되는지 확인한다.</t>
  </si>
  <si>
    <t>• 김병철 로그인</t>
  </si>
  <si>
    <t>• 사업장: 평택 2창고 • 검색: 평택로 32</t>
  </si>
  <si>
    <t>• 결과 10건씩 [더 보기] · 저장 후 센터 그대로(경기남부·인천)</t>
  </si>
  <si>
    <t>IF-07</t>
  </si>
  <si>
    <t>고객사 &gt; 관련 목록</t>
  </si>
  <si>
    <t>관련 목록에서 사업장 새로 만들기</t>
  </si>
  <si>
    <t>UT-ACC-007</t>
  </si>
  <si>
    <t>고객사 화면 사업장 관련 목록에서 [새로 만들기]하면 고객사가 채워져 열리는지 확인한다.</t>
  </si>
  <si>
    <t>• (주)한빛물류 → 사업장 [새로 만들기]</t>
  </si>
  <si>
    <t>• 고객사 (주)한빛물류 자동 입력</t>
  </si>
  <si>
    <t>접수 &gt; [기사 배정]</t>
  </si>
  <si>
    <t>배정 → 출동 생성</t>
  </si>
  <si>
    <t>UT-DSP-001</t>
  </si>
  <si>
    <t>센터장이 배정 대기 접수에서 [기사 배정]으로 기사·목적·일시를 고르면 출동이 생기고 접수가 처리 중이 되는지 확인한다.</t>
  </si>
  <si>
    <t>• 김병철 로그인 • [시연/기사 배정] 1벌 00001974(상태 접수)</t>
  </si>
  <si>
    <t>• 기사: 최민호 • 목적: 수리 • 방문 예정 일시: 오늘 14:00</t>
  </si>
  <si>
    <t>• 출동 생성(소유자 최민호, 상태 배정, 출장비 ₩50,000) · 접수 처리 중 · 배정 대기에서 빠짐</t>
  </si>
  <si>
    <t>정상 작동 (2026-10-16 Edwin 화면 확인: 00001028 → 00000049, 2026-10-18 시연 1벌)</t>
  </si>
  <si>
    <t>우리 센터 기사만</t>
  </si>
  <si>
    <t>UT-DSP-002</t>
  </si>
  <si>
    <t>기사 목록에 실행 사용자 역할 아래(우리 센터) 기사만 보이는지 확인한다.</t>
  </si>
  <si>
    <t>• [기사 배정] 기사 목록</t>
  </si>
  <si>
    <t>• 경기남부 기사(최민호)만</t>
  </si>
  <si>
    <t>출동 &gt; 상태</t>
  </si>
  <si>
    <t>기사 거절</t>
  </si>
  <si>
    <t>UT-DSP-003</t>
  </si>
  <si>
    <t>기사가 배정 출동을 거절(사유 필수)하면 센터장 홈 "재배정 필요 접수"에 그 접수가 보이는지 확인한다.</t>
  </si>
  <si>
    <t>• 최민호 로그인 • [시연/기사 거절] 2벌 출동 00000061(배정)</t>
  </si>
  <si>
    <t>• [편집] 상태: 거절 • 거절 사유: 일정 불가</t>
  </si>
  <si>
    <t>• 저장 · 김병철 홈 "재배정 필요 접수"에 00001992</t>
  </si>
  <si>
    <t>BR-13</t>
  </si>
  <si>
    <t>재배정</t>
  </si>
  <si>
    <t>UT-DSP-004</t>
  </si>
  <si>
    <t>재배정 필요 접수에서 다시 [기사 배정]하면 새 출동(회차 2)이 생기고 목록에서 빠지는지 확인한다.</t>
  </si>
  <si>
    <t>• UT-DSP-003 이어서 • 김병철 로그인</t>
  </si>
  <si>
    <t>• 00001992 → [기사 배정] 최민호</t>
  </si>
  <si>
    <t>• 새 출동 회차 2 · 재배정 필요 접수에서 빠짐 · 다시 거절하면 다시 보임</t>
  </si>
  <si>
    <t>거절 사유 필수</t>
  </si>
  <si>
    <t>UT-DSP-005</t>
  </si>
  <si>
    <t>거절 사유 없이 거절하면 저장을 막는지 확인한다.</t>
  </si>
  <si>
    <t>• 상태: 거절 • 사유 비움</t>
  </si>
  <si>
    <t>• "배정을 거절하려면 거절 사유를 입력하세요."</t>
  </si>
  <si>
    <t>종결·취소 접수</t>
  </si>
  <si>
    <t>UT-DSP-006</t>
  </si>
  <si>
    <t>종결·취소 접수에서 [기사 배정]을 누르면 안내만 나오는지 확인한다.</t>
  </si>
  <si>
    <t>• 종결 접수 00001026 종결 후 [기사 배정]</t>
  </si>
  <si>
    <t>• 안내 문구 · 기사 목록 없음 · 출동 안 생김</t>
  </si>
  <si>
    <t>버튼 권한</t>
  </si>
  <si>
    <t>UT-DSP-007</t>
  </si>
  <si>
    <t>상담원·기사에게는 [기사 배정] 버튼이 보이지 않는지 확인한다.</t>
  </si>
  <si>
    <t>• 이서연·최민호 로그인</t>
  </si>
  <si>
    <t>• 접수 00001981 열기</t>
  </si>
  <si>
    <t>• [기사 배정] 없음</t>
  </si>
  <si>
    <t>출동 &gt; 사용 부품</t>
  </si>
  <si>
    <t>보증 내 무상</t>
  </si>
  <si>
    <t>UT-WOP-001</t>
  </si>
  <si>
    <t>보증 중 장비 출동에 차량 재고 부품을 추가하면 자동으로 무상 판정되는지 확인한다.</t>
  </si>
  <si>
    <t>• 최민호 로그인 • [시연/보증 내 무상] 1벌 출동 00000051(도착, HG-HAC300-2202-0047 보증 중)</t>
  </si>
  <si>
    <t>• 부품: 팬모터 FM-30 • 수량: 1</t>
  </si>
  <si>
    <t>• 판정 무상 · 청구 합계 ₩50,000(출장비) · 승인 필요 없음</t>
  </si>
  <si>
    <t>BR-06</t>
  </si>
  <si>
    <t>보증 만료 유상</t>
  </si>
  <si>
    <t>UT-WOP-002</t>
  </si>
  <si>
    <t>보증 만료 장비 출동에 부품을 추가하면 유상으로 판정되고 50만 원 이하면 승인 필요가 없는지 확인한다.</t>
  </si>
  <si>
    <t>• 최민호 로그인 • [시연/유상 50만 이하] 1벌 출동 00000053(도착, 보증 만료)</t>
  </si>
  <si>
    <t>• 부품: 팽창밸브 EV-12 • 수량: 1</t>
  </si>
  <si>
    <t>• 판정 유상 · 청구 합계 ₩300,000 · 승인 필요 표시 없음</t>
  </si>
  <si>
    <t>BR-06 · BR-08</t>
  </si>
  <si>
    <t>차량 재고 초과 거부</t>
  </si>
  <si>
    <t>UT-WOP-003</t>
  </si>
  <si>
    <t>차량에 남은 수량보다 많이 넣으면 저장을 막는지 확인한다.</t>
  </si>
  <si>
    <t>• 최민호 로그인 • [시연/재고 부족] 1벌 출동 00000062 • 차량 배수펌프 DP-4 1개</t>
  </si>
  <si>
    <t>• 부품: 배수펌프 DP-4 • 수량: 2</t>
  </si>
  <si>
    <t>• "차량 재고가 부족합니다(남은 1개)" · 저장 안 됨</t>
  </si>
  <si>
    <t>BR-21</t>
  </si>
  <si>
    <t>보충 후 다시 추가</t>
  </si>
  <si>
    <t>UT-WOP-004</t>
  </si>
  <si>
    <t>재고 이동으로 차량에 보충한 뒤 다시 넣으면 저장되고 ERP 차감까지 되는지 확인한다.</t>
  </si>
  <si>
    <t>• UT-WOP-003 이어서 • 재고 이동(창고 → 차량 2) 수령 완료</t>
  </si>
  <si>
    <t>• 저장 · ERP 전송 상태 완료 · Salesforce·ERP 차량 재고 같음</t>
  </si>
  <si>
    <t>IF-03 · IF-06</t>
  </si>
  <si>
    <t>남은 0 재고</t>
  </si>
  <si>
    <t>UT-WOP-005</t>
  </si>
  <si>
    <t>차량에 남은 수량이 0인 부품은 선택할 수 없는지 확인한다.</t>
  </si>
  <si>
    <t>• 최민호 로그인 • 차량 재고 0인 부품 존재</t>
  </si>
  <si>
    <t>• 부품 목록 열기</t>
  </si>
  <si>
    <t>• 0인 부품 비활성(회색)</t>
  </si>
  <si>
    <t>판정 변경(사유)</t>
  </si>
  <si>
    <t>UT-WOP-006</t>
  </si>
  <si>
    <t>[판정 변경]으로 유상 부품을 무상 + 변경 사유로 저장하면 새로 고침 없이 머리글 총 청구액·승인 필요가 바뀌는지 확인한다.</t>
  </si>
  <si>
    <t>• 최민호 로그인 • [시연/예외 무상] 2벌 출동 00000057 • 제어보드 CB-7 1개(유상) 추가</t>
  </si>
  <si>
    <t>• 줄 메뉴 [판정 변경] • 최종 판정: 무상 • 사유: 장기 거래처 예외</t>
  </si>
  <si>
    <t>• 저장 토스트 · 표·합계·머리글 총 청구액 ₩50,000 · 승인 필요 표시</t>
  </si>
  <si>
    <t>BR-06 · BR-07 · 2026-10-19 화면</t>
  </si>
  <si>
    <t>사유 없이 판정 변경</t>
  </si>
  <si>
    <t>UT-WOP-007</t>
  </si>
  <si>
    <t>자동 판정과 다르게 바꾸면서 사유를 비우면 검증 규칙 문구로 막는지 확인한다.</t>
  </si>
  <si>
    <t>• UT-WOP-006과 같음</t>
  </si>
  <si>
    <t>• 최종 판정: 무상 • 사유 비움</t>
  </si>
  <si>
    <t>• 편집 칸 아래 검증 규칙 문구 · 판정 그대로</t>
  </si>
  <si>
    <t>삭제(ERP 미반영 건만)</t>
  </si>
  <si>
    <t>UT-WOP-008</t>
  </si>
  <si>
    <t>ERP 실패·확인 필요 건에만 [삭제]가 있고, 삭제하면 차량 재고가 돌아오는지 확인한다.</t>
  </si>
  <si>
    <t>• 최민호 로그인 • ERP 확인 필요 사용 부품 1건(장애 모드로 만듦)</t>
  </si>
  <si>
    <t>• 줄 메뉴 [삭제] → 확인</t>
  </si>
  <si>
    <t>• 삭제 · 차량 재고 +수량 · 완료(Synced) 건은 [삭제] 없음</t>
  </si>
  <si>
    <t>2026-10-19 화면</t>
  </si>
  <si>
    <t>잠김(승인 대기·완료)</t>
  </si>
  <si>
    <t>UT-WOP-009</t>
  </si>
  <si>
    <t>승인 대기·완료 출동은 사용 부품을 바꿀 수 없다는 안내가 나오고 추가·판정 변경·삭제가 없는지 확인한다.</t>
  </si>
  <si>
    <t>• 최민호 로그인 • [시연/유상 50만 초과] 1벌 00000042 [승인 요청] 제출(승인 대기) / [시연/종결 대기] 00000064(완료)</t>
  </si>
  <si>
    <t>• 출동 열기</t>
  </si>
  <si>
    <t>• "승인 대기 중인 출동은…" / "완료된 출동은 바꿀 수 없습니다…" · 버튼 없음</t>
  </si>
  <si>
    <t>ERP 전송 상태</t>
  </si>
  <si>
    <t>UT-WOP-010</t>
  </si>
  <si>
    <t>부품 저장 직후 ERP 전송 상태가 대기였다가 새로 고침하면 완료와 ERP 남은 수량이 보이는지 확인한다.</t>
  </si>
  <si>
    <t>• 부품 추가 후 [새로 고침]</t>
  </si>
  <si>
    <t>• 대기 → 완료 · ERP 남은 수량 = 차량 재고</t>
  </si>
  <si>
    <t>IF-03</t>
  </si>
  <si>
    <t>출동 &gt; [승인 요청]</t>
  </si>
  <si>
    <t>승인 불필요 안내</t>
  </si>
  <si>
    <t>UT-APV-001</t>
  </si>
  <si>
    <t>예외 무상이 없고 50만 원 이하인 출동에서 [승인 요청]을 누르면 안내만 나오는지 확인한다.</t>
  </si>
  <si>
    <t>• 최민호 로그인 • 출동 00000053(₩300,000)</t>
  </si>
  <si>
    <t>• [승인 요청]</t>
  </si>
  <si>
    <t>• "승인이 필요하지 않습니다" 안내</t>
  </si>
  <si>
    <t>BR-08</t>
  </si>
  <si>
    <t>출동 &gt; [승인 요청] · 승인 화면</t>
  </si>
  <si>
    <t>고액 유상 승인 요약</t>
  </si>
  <si>
    <t>UT-APV-002</t>
  </si>
  <si>
    <t>50만 원 초과 출동에서 사유·고객 동의를 넣어 제출하면 센터장 "승인할 항목"과 승인 화면(필드 13개·제출자 댓글 요약)에 보이는지 확인한다.</t>
  </si>
  <si>
    <t>• 최민호·김병철 • [시연/유상 50만 초과] 1벌 출동 00000042(₩6,550,000)</t>
  </si>
  <si>
    <t>• 사유: 압축기 교체 고객 동의 • 고객 동의 체크 • 메모: 단가 확인 부탁</t>
  </si>
  <si>
    <t>• 상태 승인 대기 · 김병철 홈 "승인할 항목" · 승인 화면 요약(이유·부품·사유·동의·메모) · [승인] → 도착</t>
  </si>
  <si>
    <t>정상 작동 (2026-10-16 Edwin 화면 확인: 출동 00000050 ₩850,000)</t>
  </si>
  <si>
    <t>BR-08 · SC-10</t>
  </si>
  <si>
    <t>고객 동의 필수</t>
  </si>
  <si>
    <t>UT-APV-003</t>
  </si>
  <si>
    <t>50만 원 초과인데 고객 동의를 체크하지 않으면 제출을 막는지 확인한다.</t>
  </si>
  <si>
    <t>• 최민호 로그인 • 출동 00000055(₩6,550,000)</t>
  </si>
  <si>
    <t>• 사유 입력 • 고객 동의 체크 안 함</t>
  </si>
  <si>
    <t>• 고객 동의 필요 안내 · 제출 안 됨</t>
  </si>
  <si>
    <t>출동 &gt; [승인 요청] · 승인</t>
  </si>
  <si>
    <t>예외 무상 승인</t>
  </si>
  <si>
    <t>UT-APV-004</t>
  </si>
  <si>
    <t>보증 만료 부품을 무상 + 사유로 바꾼 출동을 승인 요청하고 센터장이 승인하면 무상이 확정되는지 확인한다.</t>
  </si>
  <si>
    <t>• 최민호·김병철 • [시연/예외 무상] 1벌 출동 00000056 • 제어보드 CB-7 무상(사유: 장기 거래처로 인한 예외 무상)</t>
  </si>
  <si>
    <t>• [승인 요청] 사유 입력 → 김병철 [승인]</t>
  </si>
  <si>
    <t>• 승인 화면 요약 "예외 무상 1건" · 승인 후 도착 · 판정 무상 유지</t>
  </si>
  <si>
    <t>BR-07</t>
  </si>
  <si>
    <t>승인 화면</t>
  </si>
  <si>
    <t>반려 → 유상 전환</t>
  </si>
  <si>
    <t>UT-APV-005</t>
  </si>
  <si>
    <t>센터장이 반려(사유 필수)하면 출동이 도착으로 돌아오고 예외 무상 부품이 유상으로 바뀌는지 확인한다.</t>
  </si>
  <si>
    <t>• 김병철 로그인 • [시연/승인 반려] 1벌 출동 00000058 승인 대기(CB-7 예외 무상)</t>
  </si>
  <si>
    <t>• [거부] • 반려 사유: 계약 조건 확인 필요</t>
  </si>
  <si>
    <t>• 상태 도착 · 승인 상태 반려 · CB-7 유상 · 청구 합계 다시 ₩700,000 · 반려 메일</t>
  </si>
  <si>
    <t>BR-19</t>
  </si>
  <si>
    <t>반려 사유 필수</t>
  </si>
  <si>
    <t>UT-APV-006</t>
  </si>
  <si>
    <t>반려 사유 없이 거부하면 막는지 확인한다.</t>
  </si>
  <si>
    <t>• 김병철 로그인 • 승인 대기 출동</t>
  </si>
  <si>
    <t>• [거부] 사유 비움</t>
  </si>
  <si>
    <t>• "반려하려면 반려 사유를 먼저 입력하세요."</t>
  </si>
  <si>
    <t>출동</t>
  </si>
  <si>
    <t>승인 대기 잠김</t>
  </si>
  <si>
    <t>UT-APV-007</t>
  </si>
  <si>
    <t>승인 대기 중인 출동은 기사가 편집할 수 없는지 확인한다.</t>
  </si>
  <si>
    <t>• 최민호 로그인 • 승인 대기 출동</t>
  </si>
  <si>
    <t>• [편집]</t>
  </si>
  <si>
    <t>• 레코드 잠김 안내</t>
  </si>
  <si>
    <t>재고 이동</t>
  </si>
  <si>
    <t>수령 → ERP 반영</t>
  </si>
  <si>
    <t>UT-STK-001</t>
  </si>
  <si>
    <t>창고 → 기사 차량 재고 이동을 기사가 수령하면 ERP로 전송되고 양쪽 재고가 같은지 확인한다.</t>
  </si>
  <si>
    <t>• 최민호 로그인 • 경기남부 창고 냉매 R-404A</t>
  </si>
  <si>
    <t>• 재고 이동 PT-0005: 출발 PI-0035 · 도착 최민호 차량 · 수량 1kg → 수령</t>
  </si>
  <si>
    <t>• ERP 전송 완료 · 창고 50→49 · 차량 13.5→14.5(Salesforce·ERP 같음)</t>
  </si>
  <si>
    <t>IF-06</t>
  </si>
  <si>
    <t>재고 부족 보충</t>
  </si>
  <si>
    <t>UT-STK-002</t>
  </si>
  <si>
    <t>시연 재고 부족 상황에서 재고 이동으로 차량을 보충하는지 확인한다.</t>
  </si>
  <si>
    <t>• 최민호 로그인 • 차량 DP-4 1개</t>
  </si>
  <si>
    <t>• 출발: 경기남부 창고 DP-4 • 도착: 최민호 차량 • 수량 2 → 수령</t>
  </si>
  <si>
    <t>• 차량 DP-4 3 · ERP 반영</t>
  </si>
  <si>
    <t>수령 전 미전송</t>
  </si>
  <si>
    <t>UT-STK-003</t>
  </si>
  <si>
    <t>수령하지 않은 재고 이동은 ERP로 보내지 않는지 확인한다.</t>
  </si>
  <si>
    <t>• 재고 이동 생성(수령 안 함)</t>
  </si>
  <si>
    <t>• ERP 전송 상태 비어 있음 · ERP 재고 그대로</t>
  </si>
  <si>
    <t>단위 자동</t>
  </si>
  <si>
    <t>UT-STK-004</t>
  </si>
  <si>
    <t>단위를 비워 저장하면 출발 재고의 단위로 채워지는지 확인한다.</t>
  </si>
  <si>
    <t>• 냉매 R-404A 이동, 단위 비움</t>
  </si>
  <si>
    <t>• 단위 kg</t>
  </si>
  <si>
    <t>재고</t>
  </si>
  <si>
    <t>내 차량 재고</t>
  </si>
  <si>
    <t>UT-STK-005</t>
  </si>
  <si>
    <t>기사 홈 "내 차량 재고"와 [부품 추가] 목록에 자기 차량 재고 7종이 보이는지 확인한다.</t>
  </si>
  <si>
    <t>• 최민호 로그인 • 차량 재고 소유자 = 최민호</t>
  </si>
  <si>
    <t>• 홈 · 출동 00000051 [부품 추가]</t>
  </si>
  <si>
    <t>• 압축기 50HP·CB-7·DP-4·EV-12·FM-30·FT-10·R-404A</t>
  </si>
  <si>
    <t>접수 &gt; 상태</t>
  </si>
  <si>
    <t>접수 자동 완료</t>
  </si>
  <si>
    <t>UT-CLS-001</t>
  </si>
  <si>
    <t>마지막 열린 출동을 완료하면 접수가 자동으로 완료되고 센터장 "종결 대기 접수"에 보이는지 확인한다.</t>
  </si>
  <si>
    <t>• 최민호·김병철 • 처리 중 접수 + 출동 1건</t>
  </si>
  <si>
    <t>• 출동 완료(도착 일시 입력)</t>
  </si>
  <si>
    <t>• 접수 상태 완료 · 종결 대기 접수 목록</t>
  </si>
  <si>
    <t>정상 작동 (2026-10-16 Edwin 화면 확인: 00001028 · 00000049)</t>
  </si>
  <si>
    <t>BR-18</t>
  </si>
  <si>
    <t>종결 → 잠김</t>
  </si>
  <si>
    <t>UT-CLS-002</t>
  </si>
  <si>
    <t>종결한 접수를 수정하면 잠김 경고가 나오는지 확인한다.</t>
  </si>
  <si>
    <t>• 김병철 로그인 • [시연/종결 대기] 1벌 00001996(완료)</t>
  </si>
  <si>
    <t>• 상태: 마감됨 → 저장 → 다시 [편집]</t>
  </si>
  <si>
    <t>• "종결되었거나 취소된 접수는 수정할 수 없습니다…"</t>
  </si>
  <si>
    <t>열린 출동이 있으면 완료 불가</t>
  </si>
  <si>
    <t>UT-CLS-003</t>
  </si>
  <si>
    <t>열린 출동이 있는 접수를 완료·종결로 바꾸면 막는지 확인한다.</t>
  </si>
  <si>
    <t>• 이서연 로그인 • [시연/기사 거절] 1벌 00001991(배정 출동 있음)</t>
  </si>
  <si>
    <t>• 상태: 완료</t>
  </si>
  <si>
    <t>• 열린 출동 안내 · 저장 안 됨</t>
  </si>
  <si>
    <t>접수 &gt; [접수 취소]</t>
  </si>
  <si>
    <t>접수 취소</t>
  </si>
  <si>
    <t>UT-CLS-004</t>
  </si>
  <si>
    <t>[접수 취소]에서 사유를 넣으면 접수가 취소되는지 확인한다.</t>
  </si>
  <si>
    <t>• 이서연 로그인 • 접수 상태 접수</t>
  </si>
  <si>
    <t>• 취소 사유: 고객 요청</t>
  </si>
  <si>
    <t>• 상태 취소 · 이후 수정 잠김</t>
  </si>
  <si>
    <t>취소 사유 필수</t>
  </si>
  <si>
    <t>UT-CLS-005</t>
  </si>
  <si>
    <t>사유 없이 취소하면 막는지 확인한다.</t>
  </si>
  <si>
    <t>• 사유 비움</t>
  </si>
  <si>
    <t>• "접수를 취소하려면 취소 사유를 입력하세요."</t>
  </si>
  <si>
    <t>접수 &gt; 경로</t>
  </si>
  <si>
    <t>접수 경로 안내</t>
  </si>
  <si>
    <t>UT-CLS-006</t>
  </si>
  <si>
    <t>접수 경로의 "접수"·"완료" 단계 안내 문구가 보이는지 확인한다.</t>
  </si>
  <si>
    <t>• 00001974(접수) · 00001996(완료) 경로 펼치기</t>
  </si>
  <si>
    <t>• 접수: "[기사 배정]으로 출동을 만드세요." · 완료: "판정·승인·청구를 확인하고 종결하세요."</t>
  </si>
  <si>
    <t>장비 &gt; 상세</t>
  </si>
  <si>
    <t>장비 출동 요약·이력</t>
  </si>
  <si>
    <t>UT-HIS-001</t>
  </si>
  <si>
    <t>장비 화면에 누적 청구액·방문 출동 수와 출동 이력 5건 + [모두 보기]가 보이는지 확인한다.</t>
  </si>
  <si>
    <t>• 장비: HG25CH500-0001</t>
  </si>
  <si>
    <t>• "누적 청구액 ₩20,550,000 · 방문 출동 9건 (도착·승인 대기·완료 기준)" · 출동 이력 5건</t>
  </si>
  <si>
    <t>사업장 &gt; 관련됨</t>
  </si>
  <si>
    <t>사업장 출동 요약·이력</t>
  </si>
  <si>
    <t>UT-HIS-002</t>
  </si>
  <si>
    <t>사업장 화면 관련됨 탭 맨 위에 출동 요약과 출동 이력이 보이는지 확인한다.</t>
  </si>
  <si>
    <t>• 사업장: 평택 2창고</t>
  </si>
  <si>
    <t>• 누적 청구액 ₩22,185,000 · 방문 12건 · 출동 이력 5건</t>
  </si>
  <si>
    <t>SC-02</t>
  </si>
  <si>
    <t>고객사 &gt; 관련됨</t>
  </si>
  <si>
    <t>고객사 출동 요약·이력</t>
  </si>
  <si>
    <t>UT-HIS-003</t>
  </si>
  <si>
    <t>고객사 화면 관련됨 탭 맨 위에 출동 요약과 출동 이력이 보이는지 확인한다.</t>
  </si>
  <si>
    <t>• 고객사: (주)한빛물류</t>
  </si>
  <si>
    <t>• 누적 청구액 ₩23,170,000 · 방문 14건 · 출동 이력 5건</t>
  </si>
  <si>
    <t>접수 이력·반복 고장</t>
  </si>
  <si>
    <t>UT-HIS-004</t>
  </si>
  <si>
    <t>장비 카드의 접수 이력 5건과 반복 고장 표시를 확인한다.</t>
  </si>
  <si>
    <t>• 장비: HG-HAC800-2502-0004</t>
  </si>
  <si>
    <t>• 90일 내 접수 4 · 반복 고장 체크 · 접수 이력에 반복 고장 배지</t>
  </si>
  <si>
    <t>완료 후 갱신</t>
  </si>
  <si>
    <t>UT-HIS-005</t>
  </si>
  <si>
    <t>출동을 완료하면 장비·사업장·고객사 누적 청구액이 갱신되는지 확인한다.</t>
  </si>
  <si>
    <t>• 최민호 → 이서연</t>
  </si>
  <si>
    <t>• [시연/보증 내 무상] 출동 00000051 완료</t>
  </si>
  <si>
    <t>• 라온카페 장비 누적 청구액 +₩50,000 · 방문 +1</t>
  </si>
  <si>
    <t>ERP Mock &gt; 재고 화면</t>
  </si>
  <si>
    <t>입고 푸시 즉시 반영</t>
  </si>
  <si>
    <t>UT-ERP-001</t>
  </si>
  <si>
    <t>ERP Mock 재고 화면에서 입고하면 "즉시 반영됨"이 표시되고 Salesforce 재고가 바로 바뀌는지 확인한다.</t>
  </si>
  <si>
    <t>• ERP Mock(https://hg-erp-mock.hg-erp-mock.workers.dev/) • /health push: configured</t>
  </si>
  <si>
    <t>• 위치: WH-GS-001 • 부품: RFG-404A • 입고 1</t>
  </si>
  <si>
    <t>• "Salesforce: 즉시 반영됨" · Salesforce 창고 R-404A +1 · 동기화 기록 "· 푸시"</t>
  </si>
  <si>
    <t>IF-02-P</t>
  </si>
  <si>
    <t>조정으로 되돌림</t>
  </si>
  <si>
    <t>UT-ERP-002</t>
  </si>
  <si>
    <t>조정 −1을 입력하면 같은 방식으로 반영되는지 확인한다.</t>
  </si>
  <si>
    <t>• UT-ERP-001 이어서</t>
  </si>
  <si>
    <t>• 조정 −1</t>
  </si>
  <si>
    <t>• Salesforce 창고 원래 수량</t>
  </si>
  <si>
    <t>관리자 홈</t>
  </si>
  <si>
    <t>ERP 실패·확인 필요 목록</t>
  </si>
  <si>
    <t>UT-ERP-003</t>
  </si>
  <si>
    <t>관리자 홈의 ERP 실패·확인 필요 목록이 비어 있는지(정상 상태) 확인한다.</t>
  </si>
  <si>
    <t>• 관리자 로그인</t>
  </si>
  <si>
    <t>• 관리자 홈</t>
  </si>
  <si>
    <t>• 사용 부품·재고 이동 0건</t>
  </si>
  <si>
    <t>ERP Mock &gt; 장애 모드</t>
  </si>
  <si>
    <t>장애 → 재전송</t>
  </si>
  <si>
    <t>UT-ERP-004</t>
  </si>
  <si>
    <t>ERP 장애(503) 중 저장한 사용 부품이 실패로 남고, 장애 해제 후 재전송으로 완료되는지 확인한다.</t>
  </si>
  <si>
    <t>• 관리자 · 최민호 • ERP 장애 모드 켬</t>
  </si>
  <si>
    <t>• 사용 부품 저장 → 장애 끔 → d7_erp_retry_run.apex</t>
  </si>
  <si>
    <t>• 실패 → 완료 · 통신 기록 실패 1줄 + 성공 1줄</t>
  </si>
  <si>
    <t>ERP 통신 기록</t>
  </si>
  <si>
    <t>보내기 기록</t>
  </si>
  <si>
    <t>UT-ERP-005</t>
  </si>
  <si>
    <t>사용 부품을 저장하면 ERP 통신 기록에 호출 1줄(요청·응답 JSON, 건수, 걸린 시간)이 남는지 확인한다.</t>
  </si>
  <si>
    <t>• 관리자 로그인 • 최민호가 사용 부품 1건 저장</t>
  </si>
  <si>
    <t>• 탭 "ERP 통신 기록" → 최근 통신</t>
  </si>
  <si>
    <t>• 보내기 · IF-03 · POST · 200 · 건수 1 · 요청/응답 JSON · 키 없음</t>
  </si>
  <si>
    <t>실패·거부 목록</t>
  </si>
  <si>
    <t>UT-ERP-006</t>
  </si>
  <si>
    <t>실패·거부 포함 호출이 관리자 홈 카드와 목록 "실패·거부 포함"에 보이는지 확인한다.</t>
  </si>
  <si>
    <t>• UT-ERP-004 이어서</t>
  </si>
  <si>
    <t>• 관리자 홈 · 목록 "실패·거부 포함"</t>
  </si>
  <si>
    <t>• 장애 중 호출(503) 표시</t>
  </si>
  <si>
    <t>권한</t>
  </si>
  <si>
    <t>UT-ERP-007</t>
  </si>
  <si>
    <t>센터장·기사에게는 ERP 통신 기록 탭이 없는지 확인한다.</t>
  </si>
  <si>
    <t>• 김병철·최민호 로그인</t>
  </si>
  <si>
    <t>• 앱 탭</t>
  </si>
  <si>
    <t>• "ERP 통신 기록" 없음</t>
  </si>
  <si>
    <t>보고서 탭</t>
  </si>
  <si>
    <t>리포트 목록</t>
  </si>
  <si>
    <t>UT-RPT-001</t>
  </si>
  <si>
    <t>센터장이 보고서 탭에서 운영 리포트 3개와 센터장 리포트 1개를 여는지 확인한다.</t>
  </si>
  <si>
    <t>• 보고서 탭 → 센터 진행 중 접수·긴급(지난 30일)</t>
  </si>
  <si>
    <t>• 리포트 4개 · 차트 표시</t>
  </si>
  <si>
    <t>대시보드 탭</t>
  </si>
  <si>
    <t>동적 대시보드</t>
  </si>
  <si>
    <t>UT-RPT-002</t>
  </si>
  <si>
    <t>대시보드가 보는 사용자 기준으로 자기 센터 데이터만 보이는지 확인한다.</t>
  </si>
  <si>
    <t>• 대시보드 "서비스 운영 현황"</t>
  </si>
  <si>
    <t>• 경기남부·인천센터 데이터만</t>
  </si>
  <si>
    <t>앱 탭</t>
  </si>
  <si>
    <t>기사 탭 숨김</t>
  </si>
  <si>
    <t>UT-RPT-003</t>
  </si>
  <si>
    <t>기사에게는 보고서·대시보드 탭이 없는지 확인한다.</t>
  </si>
  <si>
    <t>• 보고서·대시보드 없음</t>
  </si>
  <si>
    <t>센터장 홈</t>
  </si>
  <si>
    <t>차트 [보고서 보기]</t>
  </si>
  <si>
    <t>UT-RPT-004</t>
  </si>
  <si>
    <t>센터장 홈 차트의 [보고서 보기]로 원본 리포트가 열리는지 확인한다.</t>
  </si>
  <si>
    <t>• 홈 차트 [보고서 보기]</t>
  </si>
  <si>
    <t>• HG_CenterCasesByPriority 열림</t>
  </si>
  <si>
    <t>v1.2</t>
    <phoneticPr fontId="1" type="noConversion"/>
  </si>
  <si>
    <t>ERP 연동</t>
  </si>
  <si>
    <t>ERP 푸시 첫 호출에서 연동 사용자가 위치를 못 찾음(공유) → 입구 클래스 without sharing</t>
  </si>
  <si>
    <t>오류</t>
  </si>
  <si>
    <t>2026-10-15</t>
  </si>
  <si>
    <t>ERP 연동 화면 IF-02-P</t>
  </si>
  <si>
    <t>ERP 푸시가 Field Service 플랫폼 검사로 거부 → 연동 사용자 재고·위치·제품 읽기 권한 집합 추가</t>
  </si>
  <si>
    <t>HG_ErpIntegrationData</t>
  </si>
  <si>
    <t>출동·사용 부품</t>
  </si>
  <si>
    <t>기사 출동 화면에 [승인 요청] 버튼이 안 보임(피드 추적으로 Chatter 영역 배치) → 강조 표시 패널 동적 작업</t>
  </si>
  <si>
    <t>2026-10-16</t>
  </si>
  <si>
    <t>최민호 화면</t>
  </si>
  <si>
    <t>기사 배정·재배정</t>
  </si>
  <si>
    <t>표준 [새로 만들기]로 만든 출동의 서비스센터가 비어 센터장에게 안 보임 → 출동은 [기사 배정]으로만 + 저장 전 Flow 안전망</t>
  </si>
  <si>
    <t>[기사 배정] 출동에 출장비가 비어 청구 합계에서 빠짐 → 출장비 = 기준값 50,000</t>
  </si>
  <si>
    <t>한 사이클 실습 00000049</t>
  </si>
  <si>
    <t>경기남부 기사·센터장에게 다른 센터(서울) 창고 재고가 보임 → 조건 기준 공유 규칙(센터·창고)</t>
  </si>
  <si>
    <t>검증용 서울 창고</t>
  </si>
  <si>
    <t>승인 요청·승인·반려</t>
  </si>
  <si>
    <t>승인 화면 제출자 댓글(요약) 줄이 붙어 보임 → 줄바꿈 위치 수정</t>
  </si>
  <si>
    <t>00000050</t>
  </si>
  <si>
    <t>출동 탭 앱 내 안내가 아무에게도 안 뜸 → 대상 페이지 수정 후 게시 해제(접수 경로·센터장 홈으로 충분)</t>
  </si>
  <si>
    <t>검토</t>
  </si>
  <si>
    <t>출동 이력</t>
  </si>
  <si>
    <t>화면 문구 "최근 N건"이 실제 건수와 다름 → "출동 이력·접수 이력", 안내 문구 정리</t>
  </si>
  <si>
    <t>수정</t>
  </si>
  <si>
    <t>시연 차량 재고 5종이 관리자 소유라 기사 [부품 추가]에 안 나옴 → 차량 재고 소유자 = 기사</t>
  </si>
  <si>
    <t>2026-10-18</t>
  </si>
  <si>
    <t>시연 연습</t>
  </si>
  <si>
    <t>"재배정 필요"(거절 출동 목록)에 재배정 뒤에도 거절 출동이 계속 남음 → 접수 목록(처리 중 · 열린 출동 0)으로 교체</t>
  </si>
  <si>
    <t>홈 목록이 번호 오름차순이라 새 건이 [더 보기]를 눌러야 보임 → 사용자별 목록 정렬 최신순</t>
  </si>
  <si>
    <t>[시연/중복 접수](출동 없는 처리 중)가 재배정 필요 접수에 보임 → 시연 데이터에 배정 출동 추가</t>
  </si>
  <si>
    <t>시연 데이터</t>
  </si>
  <si>
    <t>연습 재고 이동으로 생긴 수량 0 차량 재고가 리셋 뒤에도 남아 [부품 추가] 목록이 8종 → 리셋이 기준 밖 재고 삭제</t>
  </si>
  <si>
    <t>시연 리셋</t>
  </si>
  <si>
    <t>표준 사용 부품 목록과 우리 화면이 서로의 변경을 몰라 총 청구액·승인 필요가 새로 고침해야 반영 → 우리 화면 하나(판정 변경·삭제·잠김)</t>
  </si>
  <si>
    <t>모의 발표 피드백</t>
  </si>
  <si>
    <t>ERP 통신 원문(요청·응답) 기록이 없어 연동 문제 추적이 어려움 → ERP 통신 기록 오브젝트</t>
  </si>
  <si>
    <t>추가</t>
  </si>
  <si>
    <t>2026-10-19</t>
    <phoneticPr fontId="1" type="noConversion"/>
  </si>
  <si>
    <t>역할별 홈</t>
  </si>
  <si>
    <t>상담원·센터장·기사·관리자</t>
  </si>
  <si>
    <t>6건 중 3건 실행(Pass 3) · 나머지 미실행</t>
  </si>
  <si>
    <t>접수</t>
  </si>
  <si>
    <t>가상 착신·접수 작성</t>
  </si>
  <si>
    <t>유틸리티 바 [가상 착신]</t>
  </si>
  <si>
    <t>가상 착신·접수</t>
  </si>
  <si>
    <t>10건 중 7건 실행(Pass 7) · 나머지 미실행</t>
  </si>
  <si>
    <t>앱 탭 "장비 검색"</t>
  </si>
  <si>
    <t>5건 중 1건 실행(Pass 1) · 나머지 미실행</t>
  </si>
  <si>
    <t>고객</t>
  </si>
  <si>
    <t>고객사·사업장 등록</t>
  </si>
  <si>
    <t>새로 만들기 · 주소 검색</t>
  </si>
  <si>
    <t>7건 중 0건 실행(Pass 0) · 나머지 미실행</t>
  </si>
  <si>
    <t>배정</t>
  </si>
  <si>
    <t>접수 [기사 배정] · 재배정 필요 접수</t>
  </si>
  <si>
    <t>7건 중 4건 실행(Pass 4) · 나머지 미실행</t>
  </si>
  <si>
    <t>출동 화면 사용 부품(추가·판정 변경·삭제)</t>
  </si>
  <si>
    <t>10건 중 4건 실행(Pass 4) · 나머지 미실행</t>
  </si>
  <si>
    <t>승인</t>
  </si>
  <si>
    <t>출동 [승인 요청] · 승인할 항목</t>
  </si>
  <si>
    <t>창고 → 차량 보충</t>
  </si>
  <si>
    <t>5건 중 2건 실행(Pass 2) · 나머지 미실행</t>
  </si>
  <si>
    <t>접수 취소·종결</t>
  </si>
  <si>
    <t>자동 완료 · 종결 · 취소</t>
  </si>
  <si>
    <t>6건 중 2건 실행(Pass 2) · 나머지 미실행</t>
  </si>
  <si>
    <t>조회</t>
  </si>
  <si>
    <t>장비·고객사·사업장 출동 이력</t>
  </si>
  <si>
    <t>출동 요약 · 출동 이력</t>
  </si>
  <si>
    <t>5건 중 3건 실행(Pass 3) · 나머지 미실행</t>
  </si>
  <si>
    <t>연동</t>
  </si>
  <si>
    <t>ERP 연동 화면</t>
  </si>
  <si>
    <t>ERP Mock 재고 화면 · 통신 기록</t>
  </si>
  <si>
    <t>7건 중 2건 실행(Pass 2) · 나머지 미실행</t>
  </si>
  <si>
    <t>리포트·대시보드</t>
  </si>
  <si>
    <t>보고서·대시보드 탭</t>
  </si>
  <si>
    <t>4건 중 0건 실행(Pass 0) · 나머지 미실행</t>
  </si>
  <si>
    <t>합계</t>
  </si>
  <si>
    <t>케이스 79건 · 실행 32건(모두 Pass) · 미실행 47건</t>
  </si>
  <si>
    <t>※ 단위 테스트 = 메뉴·기능별로 담당자가 실제 사용자로 로그인해 화면에서 직접 실행하고 결과를 기록합니다. 입력 데이터는 시연 데이터(docs/demo_checklist.md)의 실제 값이며, 실제 결과가 빈 케이스는 아직 실행하지 않은 것입니다. Apex 자동 테스트는 부록 시트.</t>
    <phoneticPr fontId="1" type="noConversion"/>
  </si>
  <si>
    <t>TEST 접속정보</t>
  </si>
  <si>
    <t>개발 org(Developer Edition, Field Service 활성)</t>
  </si>
  <si>
    <t>https://orgfarm-68b5e672a0-dev-ed.develop.my.salesforce.com</t>
  </si>
  <si>
    <t>콜센터 상담원 (이서연)</t>
  </si>
  <si>
    <t>seoyeon.lee@hangyeol-as.dev</t>
  </si>
  <si>
    <t>기재 안 함</t>
  </si>
  <si>
    <t>경기남부·인천 센터장 (김병철)</t>
  </si>
  <si>
    <t>epic.c3b435533985@orgfarm.salesforce.com</t>
  </si>
  <si>
    <t>경기남부 협력 기사 (최민호)</t>
  </si>
  <si>
    <t>minho.choi@hangyeol-as.dev</t>
  </si>
  <si>
    <t>서비스운영팀장·관리자 (이학민)</t>
  </si>
  <si>
    <t>edwin.b28b9597ca64@agentforce.com</t>
  </si>
  <si>
    <t>※ 관리자는 사용자 상세 [로그인](Login As)으로 세 사용자 화면을 확인</t>
  </si>
  <si>
    <r>
      <t>부록</t>
    </r>
    <r>
      <rPr>
        <b/>
        <sz val="16"/>
        <color theme="1"/>
        <rFont val="Calibri"/>
        <family val="2"/>
      </rPr>
      <t xml:space="preserve"> — </t>
    </r>
    <r>
      <rPr>
        <b/>
        <sz val="16"/>
        <color theme="1"/>
        <rFont val="Calibri"/>
        <family val="2"/>
        <charset val="1"/>
      </rPr>
      <t>자동</t>
    </r>
    <r>
      <rPr>
        <b/>
        <sz val="16"/>
        <color theme="1"/>
        <rFont val="Calibri"/>
        <family val="2"/>
      </rPr>
      <t xml:space="preserve"> </t>
    </r>
    <r>
      <rPr>
        <b/>
        <sz val="16"/>
        <color theme="1"/>
        <rFont val="Calibri"/>
        <family val="2"/>
        <charset val="1"/>
      </rPr>
      <t>테스트</t>
    </r>
    <r>
      <rPr>
        <b/>
        <sz val="16"/>
        <color theme="1"/>
        <rFont val="Calibri"/>
        <family val="2"/>
      </rPr>
      <t xml:space="preserve">(Apex) </t>
    </r>
    <r>
      <rPr>
        <b/>
        <sz val="16"/>
        <color theme="1"/>
        <rFont val="Calibri"/>
        <family val="2"/>
        <charset val="1"/>
      </rPr>
      <t>결과</t>
    </r>
    <r>
      <rPr>
        <b/>
        <sz val="16"/>
        <color theme="1"/>
        <rFont val="Calibri"/>
        <family val="2"/>
      </rPr>
      <t>·</t>
    </r>
    <r>
      <rPr>
        <b/>
        <sz val="16"/>
        <color theme="1"/>
        <rFont val="Calibri"/>
        <family val="2"/>
        <charset val="1"/>
      </rPr>
      <t>커버리지</t>
    </r>
    <r>
      <rPr>
        <b/>
        <sz val="16"/>
        <color theme="1"/>
        <rFont val="Calibri"/>
        <family val="2"/>
      </rPr>
      <t xml:space="preserve"> (2026-10-19 </t>
    </r>
    <r>
      <rPr>
        <b/>
        <sz val="16"/>
        <color theme="1"/>
        <rFont val="Calibri"/>
        <family val="2"/>
        <charset val="1"/>
      </rPr>
      <t>전체</t>
    </r>
    <r>
      <rPr>
        <b/>
        <sz val="16"/>
        <color theme="1"/>
        <rFont val="Calibri"/>
        <family val="2"/>
      </rPr>
      <t xml:space="preserve"> </t>
    </r>
    <r>
      <rPr>
        <b/>
        <sz val="16"/>
        <color theme="1"/>
        <rFont val="Calibri"/>
        <family val="2"/>
        <charset val="1"/>
      </rPr>
      <t>실행</t>
    </r>
    <r>
      <rPr>
        <b/>
        <sz val="16"/>
        <color theme="1"/>
        <rFont val="Calibri"/>
        <family val="2"/>
      </rPr>
      <t>)</t>
    </r>
  </si>
  <si>
    <t>테스트 클래스 30개 · 메서드 235개 + @TestSetup 25개 = 실행 260건, 통과 260 · 실패 0 · org 커버리지 95% · 실행 ID 707aj00001MOH4S · sf apex run test --test-level RunLocalTests --code-coverage</t>
  </si>
  <si>
    <t>※ 개발자가 만든 자동 회귀 테스트(코드)입니다. 본문 메뉴별 시트의 화면 테스트와 별개이며, 배포 시 운영 org에서 다시 실행됩니다(75% 이상 필요).</t>
  </si>
  <si>
    <t>커버리지</t>
  </si>
  <si>
    <r>
      <t>클래스</t>
    </r>
    <r>
      <rPr>
        <b/>
        <sz val="11"/>
        <color theme="1"/>
        <rFont val="Calibri"/>
        <family val="2"/>
      </rPr>
      <t>·</t>
    </r>
    <r>
      <rPr>
        <b/>
        <sz val="11"/>
        <color theme="1"/>
        <rFont val="Calibri"/>
        <family val="2"/>
        <charset val="1"/>
      </rPr>
      <t>트리거</t>
    </r>
  </si>
  <si>
    <r>
      <t>전체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  <charset val="1"/>
      </rPr>
      <t>줄</t>
    </r>
  </si>
  <si>
    <r>
      <t>덮은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  <charset val="1"/>
      </rPr>
      <t>줄</t>
    </r>
  </si>
  <si>
    <t>AccountNewController</t>
  </si>
  <si>
    <t>AddressSearchController</t>
  </si>
  <si>
    <t>AssetDetailController</t>
  </si>
  <si>
    <t>AssetRepeatFailureBatch</t>
  </si>
  <si>
    <t>AssetRepeatFailureSchedulable</t>
  </si>
  <si>
    <t>AssetSearchController</t>
  </si>
  <si>
    <t>CallerMatchService</t>
  </si>
  <si>
    <t>CallIntakeController</t>
  </si>
  <si>
    <t>CaseStatsService</t>
  </si>
  <si>
    <t>CaseTrigger</t>
  </si>
  <si>
    <t>CaseTriggerHandler</t>
  </si>
  <si>
    <t>CaseWorkOrderStatsService</t>
  </si>
  <si>
    <t>CustomerSiteAddressService</t>
  </si>
  <si>
    <t>CustomerSiteTrigger</t>
  </si>
  <si>
    <t>CustomerSiteTriggerHandler</t>
  </si>
  <si>
    <t>DispatchService</t>
  </si>
  <si>
    <t>ErpCallLogger</t>
  </si>
  <si>
    <t>ErpInventoryService</t>
  </si>
  <si>
    <t>ErpMovementResource</t>
  </si>
  <si>
    <t>ErpRetryBatch</t>
  </si>
  <si>
    <t>ErpRetrySchedulable</t>
  </si>
  <si>
    <t>ErpStockSyncBatch</t>
  </si>
  <si>
    <t>ErpStockSyncSchedulable</t>
  </si>
  <si>
    <t>ErpStockSyncService</t>
  </si>
  <si>
    <t>ErpSyncQueueable</t>
  </si>
  <si>
    <t>IntakeContextService</t>
  </si>
  <si>
    <t>ProductConsumedTrigger</t>
  </si>
  <si>
    <t>ProductConsumedTriggerHandler</t>
  </si>
  <si>
    <t>ProductTransferTrigger</t>
  </si>
  <si>
    <t>ProductTransferTriggerHandler</t>
  </si>
  <si>
    <t>ServiceCenterMappingService</t>
  </si>
  <si>
    <t>TriggerHandler</t>
  </si>
  <si>
    <t>VanStockService</t>
  </si>
  <si>
    <t>WarrantyService</t>
  </si>
  <si>
    <t>WorkOrderChargeService</t>
  </si>
  <si>
    <t>WorkOrderPartsController</t>
  </si>
  <si>
    <t>WorkOrderTrigger</t>
  </si>
  <si>
    <t>WorkOrderTriggerHandler</t>
  </si>
  <si>
    <r>
      <t>테스트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  <charset val="1"/>
      </rPr>
      <t>메서드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  <charset val="1"/>
      </rPr>
      <t>목록</t>
    </r>
  </si>
  <si>
    <r>
      <rPr>
        <b/>
        <sz val="11"/>
        <color theme="1"/>
        <rFont val="Calibri"/>
        <family val="2"/>
        <charset val="1"/>
      </rPr>
      <t>모듈</t>
    </r>
  </si>
  <si>
    <r>
      <rPr>
        <b/>
        <sz val="11"/>
        <color theme="1"/>
        <rFont val="Calibri"/>
        <family val="2"/>
        <charset val="1"/>
      </rPr>
      <t>케이스</t>
    </r>
    <r>
      <rPr>
        <b/>
        <sz val="11"/>
        <color theme="1"/>
        <rFont val="Calibri"/>
        <family val="2"/>
      </rPr>
      <t xml:space="preserve"> ID</t>
    </r>
  </si>
  <si>
    <r>
      <rPr>
        <b/>
        <sz val="11"/>
        <color theme="1"/>
        <rFont val="Calibri"/>
        <family val="2"/>
        <charset val="1"/>
      </rPr>
      <t>테스트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  <charset val="1"/>
      </rPr>
      <t>항목</t>
    </r>
  </si>
  <si>
    <r>
      <rPr>
        <b/>
        <sz val="11"/>
        <color theme="1"/>
        <rFont val="Calibri"/>
        <family val="2"/>
        <charset val="1"/>
      </rPr>
      <t>시나리오</t>
    </r>
  </si>
  <si>
    <r>
      <rPr>
        <b/>
        <sz val="11"/>
        <color theme="1"/>
        <rFont val="Calibri"/>
        <family val="2"/>
        <charset val="1"/>
      </rPr>
      <t>기대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  <charset val="1"/>
      </rPr>
      <t>결과</t>
    </r>
  </si>
  <si>
    <r>
      <rPr>
        <b/>
        <sz val="11"/>
        <color theme="1"/>
        <rFont val="Calibri"/>
        <family val="2"/>
        <charset val="1"/>
      </rPr>
      <t>테스트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  <charset val="1"/>
      </rPr>
      <t>메서드</t>
    </r>
  </si>
  <si>
    <r>
      <rPr>
        <b/>
        <sz val="11"/>
        <color theme="1"/>
        <rFont val="Calibri"/>
        <family val="2"/>
        <charset val="1"/>
      </rPr>
      <t>결과</t>
    </r>
  </si>
  <si>
    <r>
      <rPr>
        <b/>
        <sz val="11"/>
        <color theme="1"/>
        <rFont val="Calibri"/>
        <family val="2"/>
        <charset val="1"/>
      </rPr>
      <t>구분</t>
    </r>
  </si>
  <si>
    <t>접수 · 장비 &gt; CaseTriggerHandler</t>
  </si>
  <si>
    <t>AT-CAS-001</t>
  </si>
  <si>
    <t>같은 장비 접수 3건을 차례로</t>
  </si>
  <si>
    <t>같은 장비 접수 3건을 차례로 → 3번째만 반복 고장</t>
  </si>
  <si>
    <t>3번째만 반복 고장</t>
  </si>
  <si>
    <t>CaseTriggerHandlerTest.normalThirdCaseOnSameAssetIsRepeatFailure</t>
  </si>
  <si>
    <t>정상</t>
  </si>
  <si>
    <t>AT-CAS-002</t>
  </si>
  <si>
    <t>같은 장비 3건을 한 번에 insert</t>
  </si>
  <si>
    <t>같은 장비 3건을 한 번에 insert → Trigger.new 순서대로 세어 3번째만 반복 고장</t>
  </si>
  <si>
    <t>Trigger.new 순서대로 세어 3번째만 반복 고장</t>
  </si>
  <si>
    <t>CaseTriggerHandlerTest.normalSameAssetThreeInOneBatchFlagsOnlyThird</t>
  </si>
  <si>
    <t>AT-CAS-003</t>
  </si>
  <si>
    <t>접수 3건이 쌓이면 장비의 최근 90일 접수 수 3, 반복 고장 장비 true</t>
  </si>
  <si>
    <t>모든 Assert 통과</t>
  </si>
  <si>
    <t>CaseTriggerHandlerTest.normalAssetRepeatFailureFlaggedOnInsert</t>
  </si>
  <si>
    <t>AT-CAS-004</t>
  </si>
  <si>
    <t>장비 변경 시 이전·새 장비 모두 재계산, 취소로 바뀌면 누적 수에서 제외 (after update)</t>
  </si>
  <si>
    <t>CaseTriggerHandlerTest.normalUpdateRecalculatesOldNewAndCanceled</t>
  </si>
  <si>
    <t>AT-CAS-005</t>
  </si>
  <si>
    <t>접수 삭제</t>
  </si>
  <si>
    <t>접수 삭제 → 장비 누적 수 감소 (after delete)</t>
  </si>
  <si>
    <t>장비 누적 수 감소 (after delete)</t>
  </si>
  <si>
    <t>CaseTriggerHandlerTest.normalDeleteDecrementsAssetTotal</t>
  </si>
  <si>
    <t>AT-CAS-006</t>
  </si>
  <si>
    <t>삭제한 접수를 복원</t>
  </si>
  <si>
    <t>삭제한 접수를 복원 → 장비 누적 수 원래대로 (after undelete)</t>
  </si>
  <si>
    <t>장비 누적 수 원래대로 (after undelete)</t>
  </si>
  <si>
    <t>CaseTriggerHandlerTest.normalUndeleteRestoresAssetTotal</t>
  </si>
  <si>
    <t>AT-CAS-007</t>
  </si>
  <si>
    <t>스위치(TriggerSetting__mdt)를 끄면 반복 고장 표시·장비 집계 모두 하지 않음</t>
  </si>
  <si>
    <t>CaseTriggerHandlerTest.normalSwitchOffSkipsAllLogic</t>
  </si>
  <si>
    <t>AT-CAS-008</t>
  </si>
  <si>
    <t>정적 우회(bypassedHandlers)에 핸들러 이름을 넣으면 그 핸들러만 건너뜀 (데이터 이관 스크립트</t>
  </si>
  <si>
    <t>정적 우회(bypassedHandlers)에 핸들러 이름을 넣으면 그 핸들러만 건너뜀 (데이터 이관 스크립트용)</t>
  </si>
  <si>
    <t>CaseTriggerHandlerTest.normalBypassedHandlerSkipsLogic</t>
  </si>
  <si>
    <t>AT-CAS-009</t>
  </si>
  <si>
    <t>트리거 밖에서 run()을 불러도 아무 일도 하지 않음 (Trigger.isExecuting = false)</t>
  </si>
  <si>
    <t>CaseTriggerHandlerTest.normalRunOutsideTriggerDoesNothing</t>
  </si>
  <si>
    <t>AT-CAS-010</t>
  </si>
  <si>
    <t>같은 트랜잭션에서 제목 수정</t>
  </si>
  <si>
    <t>같은 트랜잭션에서 제목 수정 → 장비 변경 → 취소를 연달아 해도 매번 재계산 (D5 update 벌크에서 발견한 결함)</t>
  </si>
  <si>
    <t>장비 변경 → 취소를 연달아 해도 매번 재계산 (D5 update 벌크에서 발견한 결함)</t>
  </si>
  <si>
    <t>CaseTriggerHandlerTest.normalRegressionConsecutiveUpdatesRecalculate</t>
  </si>
  <si>
    <t>AT-CAS-011</t>
  </si>
  <si>
    <t>장비 없는 접수</t>
  </si>
  <si>
    <t>장비 없는 접수 → Validation Rule(Asset_Required)로 저장 거부</t>
  </si>
  <si>
    <t>Validation Rule(Asset_Required)로 저장 거부</t>
  </si>
  <si>
    <t>CaseTriggerHandlerTest.rejectCaseWithoutAsset</t>
  </si>
  <si>
    <t>불허</t>
  </si>
  <si>
    <t>AT-CAS-012</t>
  </si>
  <si>
    <t>종결된 접수를 상담원이 수정</t>
  </si>
  <si>
    <t>종결된 접수를 상담원이 수정 → Validation Rule(Closed_Lock)로 저장 거부, 장비 집계도 그대로</t>
  </si>
  <si>
    <t>Validation Rule(Closed_Lock)로 저장 거부, 장비 집계도 그대로</t>
  </si>
  <si>
    <t>CaseTriggerHandlerTest.rejectClosedCaseUpdate</t>
  </si>
  <si>
    <t>AT-CAS-013</t>
  </si>
  <si>
    <t>200건 한 번에 insert</t>
  </si>
  <si>
    <t>200건 한 번에 insert → 장비별 누적 접수 수·최근 접수일·최근 접수 수·반복 고장 장비 정확</t>
  </si>
  <si>
    <t>장비별 누적 접수 수·최근 접수일·최근 접수 수·반복 고장 장비 정확</t>
  </si>
  <si>
    <t>CaseTriggerHandlerTest.bulkInsertUpdatesAssetTotals</t>
  </si>
  <si>
    <t>벌크</t>
  </si>
  <si>
    <t>AT-CAS-014</t>
  </si>
  <si>
    <t>200건 중 20건이 거부(장비 없음)돼도 나머지 180건은 저장되고 장비 집계는 저장된 건만 반영</t>
  </si>
  <si>
    <t>CaseTriggerHandlerTest.bulkPartialRejectKeepsValidTotals</t>
  </si>
  <si>
    <t>접수 · 장비 &gt; CaseStatsService</t>
  </si>
  <si>
    <t>AT-CAS-015</t>
  </si>
  <si>
    <t>빈 입력(null·빈 집합·null만 든 집합)은 아무것도 하지 않고 0 / 빈 목록</t>
  </si>
  <si>
    <t>CaseStatsServiceTest.normalEmptyInputReturnsNothing</t>
  </si>
  <si>
    <t>AT-CAS-016</t>
  </si>
  <si>
    <t>취소 상태로 들어오는 접수는 묶음 건수에 넣지 않음</t>
  </si>
  <si>
    <t>취소 상태로 들어오는 접수는 묶음 건수에 넣지 않음 → 같은 장비 3건 중 1건이 취소면 3번째도 반복 고장 아님</t>
  </si>
  <si>
    <t>같은 장비 3건 중 1건이 취소면 3번째도 반복 고장 아님</t>
  </si>
  <si>
    <t>CaseStatsServiceTest.normalCanceledNewCaseNotCounted</t>
  </si>
  <si>
    <t>AT-CAS-017</t>
  </si>
  <si>
    <t>접수가 하나도 없는 장비를 재계산하면 0 / 비어 있음 / false로 되돌림</t>
  </si>
  <si>
    <t>CaseStatsServiceTest.normalAssetWithoutCasesResetToZero</t>
  </si>
  <si>
    <t>AT-CAS-018</t>
  </si>
  <si>
    <t>저장할 수 없는 장비(삭제됨)가 섞여 있으면 그 장비만 실패하고 나머지는 저장 (Database.update</t>
  </si>
  <si>
    <t>저장할 수 없는 장비(삭제됨)가 섞여 있으면 그 장비만 실패하고 나머지는 저장 (Database.update allOrNone = false)</t>
  </si>
  <si>
    <t>CaseStatsServiceTest.rejectDeletedAssetCountsOnlySaved</t>
  </si>
  <si>
    <t>AT-CAS-019</t>
  </si>
  <si>
    <t>장비 200대를 한 번에 재계산</t>
  </si>
  <si>
    <t>장비 200대를 한 번에 재계산 → SOQL 2회(누적 집계·최근 집계) + DML 1회, 모두 저장</t>
  </si>
  <si>
    <t>SOQL 2회(누적 집계·최근 집계) + DML 1회, 모두 저장</t>
  </si>
  <si>
    <t>CaseStatsServiceTest.bulkRecalculate200Assets</t>
  </si>
  <si>
    <t>접수 · 장비 &gt; AssetRepeatFailureBatch</t>
  </si>
  <si>
    <t>AT-CAS-020</t>
  </si>
  <si>
    <t>접수 3건이 모두 100일 전이 되면(기준 90일 밖) Batch 후 반복 고장 장비가 풀림. 누적 수는 그</t>
  </si>
  <si>
    <t>접수 3건이 모두 100일 전이 되면(기준 90일 밖) Batch 후 반복 고장 장비가 풀림. 누적 수는 그대로</t>
  </si>
  <si>
    <t>AssetRepeatFailureBatchTest.normalOldCasesReleaseRepeatFailure</t>
  </si>
  <si>
    <t>AT-CAS-021</t>
  </si>
  <si>
    <t>최근 접수 3건이면 Batch 후에도 반복 고장 장비 유지</t>
  </si>
  <si>
    <t>AssetRepeatFailureBatchTest.normalRecentCasesKeepRepeatFailure</t>
  </si>
  <si>
    <t>AT-CAS-022</t>
  </si>
  <si>
    <t>접수 4건 중 2건만 기간 밖이 되면 최근 2건</t>
  </si>
  <si>
    <t>접수 4건 중 2건만 기간 밖이 되면 최근 2건 → 반복 고장 해제, 최근 접수 수 2</t>
  </si>
  <si>
    <t>반복 고장 해제, 최근 접수 수 2</t>
  </si>
  <si>
    <t>AssetRepeatFailureBatchTest.normalPartlyOldCasesRecountRecent</t>
  </si>
  <si>
    <t>AT-CAS-023</t>
  </si>
  <si>
    <t>최근 접수도 없고 반복 고장도 아닌 장비는 Batch 대상이 아님 (start 조건)</t>
  </si>
  <si>
    <t>AssetRepeatFailureBatchTest.normalQuietAssetNotSelected</t>
  </si>
  <si>
    <t>AT-CAS-024</t>
  </si>
  <si>
    <t>반복 고장으로 잘못 남아 있던 장비 200대(실제 접수 없음)를 Batch 한 번(범위 200)으로 모두 바</t>
  </si>
  <si>
    <t>반복 고장으로 잘못 남아 있던 장비 200대(실제 접수 없음)를 Batch 한 번(범위 200)으로 모두 바로잡음</t>
  </si>
  <si>
    <t>AssetRepeatFailureBatchTest.bulk200AssetsCorrected</t>
  </si>
  <si>
    <t>접수 · 장비 &gt; AssetRepeatFailureSchedulable</t>
  </si>
  <si>
    <t>AT-CAS-025</t>
  </si>
  <si>
    <t xml:space="preserve">매일 02:00으로 예약되고, 예약 작업이 실행되면 AssetRepeatFailureBatch가 Batch </t>
  </si>
  <si>
    <t>매일 02:00으로 예약되고, 예약 작업이 실행되면 AssetRepeatFailureBatch가 Batch Apex로 큐에 들어감</t>
  </si>
  <si>
    <t>AssetRepeatFailureSchedulableTest.normalScheduleEnqueuesBatch</t>
  </si>
  <si>
    <t>접수 · 장비 &gt; AssetSearchController</t>
  </si>
  <si>
    <t>AT-CAS-026</t>
  </si>
  <si>
    <t>기본 정렬은 최근 접수일 내림차순, 접수 없는 장비는 맨 뒤</t>
  </si>
  <si>
    <t>AssetSearchControllerTest.normalDefaultSortRecentFirstNullsLast</t>
  </si>
  <si>
    <t>AT-CAS-027</t>
  </si>
  <si>
    <t>오름차순으로 바꿔도 값이 없는 장비는 맨 뒤</t>
  </si>
  <si>
    <t>AssetSearchControllerTest.normalAscendingKeepsNullsLast</t>
  </si>
  <si>
    <t>AT-CAS-028</t>
  </si>
  <si>
    <t>고객사·사업장·시리얼 일부로 검색</t>
  </si>
  <si>
    <t>AssetSearchControllerTest.normalSearchByAccountSiteSerial</t>
  </si>
  <si>
    <t>AT-CAS-029</t>
  </si>
  <si>
    <t>"반복 고장 장비만" 필터</t>
  </si>
  <si>
    <t>AssetSearchControllerTest.normalRepeatOnlyFilter</t>
  </si>
  <si>
    <t>AT-CAS-030</t>
  </si>
  <si>
    <t>상담원 사용자로 실행 (화면 실제 사용자)</t>
  </si>
  <si>
    <t>AssetSearchControllerTest.normalCallCenterUserSearches</t>
  </si>
  <si>
    <t>AT-CAS-031</t>
  </si>
  <si>
    <t>허용 목록에 없는 정렬값(인젝션 시도)·1글자 검색어·범위 밖 페이지는 기본값으로 처리</t>
  </si>
  <si>
    <t>AssetSearchControllerTest.rejectInvalidInputsFallBackToDefaults</t>
  </si>
  <si>
    <t>AT-CAS-032</t>
  </si>
  <si>
    <t>장비 권한이 없는 협력 기사는 조회 불가</t>
  </si>
  <si>
    <t>장비 권한이 없는 협력 기사는 조회 불가 → 화면에 표시할 오류</t>
  </si>
  <si>
    <t>화면에 표시할 오류</t>
  </si>
  <si>
    <t>AssetSearchControllerTest.rejectTechnicianWithoutAssetAccess</t>
  </si>
  <si>
    <t>AT-CAS-033</t>
  </si>
  <si>
    <t>장비 203대</t>
  </si>
  <si>
    <t>장비 203대 → 20건씩, 마지막 페이지 3건</t>
  </si>
  <si>
    <t>20건씩, 마지막 페이지 3건</t>
  </si>
  <si>
    <t>AssetSearchControllerTest.bulkPagingOver200Assets</t>
  </si>
  <si>
    <t>접수 · 장비 &gt; AssetDetailController</t>
  </si>
  <si>
    <t>AT-CAS-034</t>
  </si>
  <si>
    <t>접수 6건</t>
  </si>
  <si>
    <t>접수 6건 → 최근 5건만 최신순, 전체 6건 ("모두 보기" 표시 기준)</t>
  </si>
  <si>
    <t>최근 5건만 최신순, 전체 6건 ("모두 보기" 표시 기준)</t>
  </si>
  <si>
    <t>AssetDetailControllerTest.normalReturnsLatestFiveNewestFirst</t>
  </si>
  <si>
    <t>AT-CAS-035</t>
  </si>
  <si>
    <t>접수 없는 장비·Id 없음</t>
  </si>
  <si>
    <t>접수 없는 장비·Id 없음 → 빈 목록 (오류 아님)</t>
  </si>
  <si>
    <t>빈 목록 (오류 아님)</t>
  </si>
  <si>
    <t>AssetDetailControllerTest.normalNoCasesReturnsEmpty</t>
  </si>
  <si>
    <t>AT-CAS-036</t>
  </si>
  <si>
    <t>다른 장비의 접수는 섞이지 않음</t>
  </si>
  <si>
    <t>AssetDetailControllerTest.normalOnlyThisAssetCases</t>
  </si>
  <si>
    <t>AT-CAS-037</t>
  </si>
  <si>
    <t>접수 권한이 없는 협력 기사</t>
  </si>
  <si>
    <t>접수 권한이 없는 협력 기사 → 화면에 표시할 오류</t>
  </si>
  <si>
    <t>AssetDetailControllerTest.rejectTechnicianWithoutCaseAccess</t>
  </si>
  <si>
    <t>AT-CAS-038</t>
  </si>
  <si>
    <t>접수 200건 장비</t>
  </si>
  <si>
    <t>접수 200건 장비 → 5건만 반환, 전체 200</t>
  </si>
  <si>
    <t>5건만 반환, 전체 200</t>
  </si>
  <si>
    <t>AssetDetailControllerTest.bulkTwoHundredCasesReturnsFive</t>
  </si>
  <si>
    <t>접수 · 장비 &gt; AssetNameFlow</t>
  </si>
  <si>
    <t>AT-CAS-039</t>
  </si>
  <si>
    <t>생성 시 이름 = 모델/고객사/사업장/시리얼 끝자리(마지막 하이픈 뒤), 시리얼 키 = 일련번호</t>
  </si>
  <si>
    <t>AssetNameFlowTest.normalNameBuiltOnInsert</t>
  </si>
  <si>
    <t>AT-CAS-040</t>
  </si>
  <si>
    <t>빈 칸은 건너뜀(사업장·모델 없음), 하이픈 없는 시리얼은 전체, 일련번호가 비고 시리얼 키만 있으면 일련번</t>
  </si>
  <si>
    <t>빈 칸은 건너뜀(사업장·모델 없음), 하이픈 없는 시리얼은 전체, 일련번호가 비고 시리얼 키만 있으면 일련번호로 채움</t>
  </si>
  <si>
    <t>AssetNameFlowTest.normalBlankPartsSkippedAndSerialKeyFillsNumber</t>
  </si>
  <si>
    <t>AT-CAS-041</t>
  </si>
  <si>
    <t>시리얼이 바뀌면 이름 다시 생성 · 불허: 이름을 손으로 고쳐도 규칙대로 되돌림</t>
  </si>
  <si>
    <t>AssetNameFlowTest.normalRegeneratedOnChangeAndManualNameReverted</t>
  </si>
  <si>
    <t>AT-CAS-042</t>
  </si>
  <si>
    <t>한 사업장의 장비 200건</t>
  </si>
  <si>
    <t>한 사업장의 장비 200건 → 사업장 이름 변경 한 번에 모두 새 이름</t>
  </si>
  <si>
    <t>사업장 이름 변경 한 번에 모두 새 이름</t>
  </si>
  <si>
    <t>AssetNameFlowTest.bulkSiteRenameUpdatesAllAssets</t>
  </si>
  <si>
    <t>AT-CAS-043</t>
  </si>
  <si>
    <t>고객사 이름이 바뀌면 그 고객사 장비 이름 다시 생성</t>
  </si>
  <si>
    <t>AssetNameFlowTest.normalAccountRenameUpdatesAssets</t>
  </si>
  <si>
    <t>AT-CAS-044</t>
  </si>
  <si>
    <t>사업장의 이름이 아닌 값(상세주소)만 바뀌면 장비는 건드리지 않음</t>
  </si>
  <si>
    <t>AssetNameFlowTest.rejectNonNameSiteChangeDoesNotTouchAssets</t>
  </si>
  <si>
    <t>전화 접수(CTI) &gt; CallIntakeController</t>
  </si>
  <si>
    <t>AT-CTI-001</t>
  </si>
  <si>
    <t>사업장 1곳 + 시리얼 뒤 4자리 일치 1대</t>
  </si>
  <si>
    <t>사업장 1곳 + 시리얼 뒤 4자리 일치 1대 → 장비 확정 (상담원 권한으로)</t>
  </si>
  <si>
    <t>장비 확정 (상담원 권한으로)</t>
  </si>
  <si>
    <t>CallIntakeControllerTest.normalSerialMatchConfirmsAsset</t>
  </si>
  <si>
    <t>AT-CTI-002</t>
  </si>
  <si>
    <t>사업장 1곳 + 시리얼 모름(#) + 장비 1대</t>
  </si>
  <si>
    <t>사업장 1곳 + 시리얼 모름(#) + 장비 1대 → 장비 확정. 하이픈 없이 저장된 번호도 찾음</t>
  </si>
  <si>
    <t>장비 확정. 하이픈 없이 저장된 번호도 찾음</t>
  </si>
  <si>
    <t>CallIntakeControllerTest.normalSingleAssetSiteConfirmsAsset</t>
  </si>
  <si>
    <t>AT-CTI-003</t>
  </si>
  <si>
    <t>사업장 1곳 + 장비 여러 대 + 시리얼 모름</t>
  </si>
  <si>
    <t>사업장 1곳 + 장비 여러 대 + 시리얼 모름 → 장비 후보 3대</t>
  </si>
  <si>
    <t>장비 후보 3대</t>
  </si>
  <si>
    <t>CallIntakeControllerTest.normalMultipleAssetsGiveCandidates</t>
  </si>
  <si>
    <t>AT-CTI-004</t>
  </si>
  <si>
    <t>사업장 1곳 + 시리얼 불일치</t>
  </si>
  <si>
    <t>사업장 1곳 + 시리얼 불일치 → 사업장 장비 전체가 후보 (시리얼로 다른 사업장 장비를 찾지 않음)</t>
  </si>
  <si>
    <t>사업장 장비 전체가 후보 (시리얼로 다른 사업장 장비를 찾지 않음)</t>
  </si>
  <si>
    <t>CallIntakeControllerTest.normalSerialMismatchShowsSiteAssets</t>
  </si>
  <si>
    <t>AT-CTI-005</t>
  </si>
  <si>
    <t>고객사 대표 번호</t>
  </si>
  <si>
    <t>고객사 대표 번호 → 사업장 후보 3곳, 시리얼 일치 1대면 사업장·장비 채움</t>
  </si>
  <si>
    <t>사업장 후보 3곳, 시리얼 일치 1대면 사업장·장비 채움</t>
  </si>
  <si>
    <t>CallIntakeControllerTest.normalAccountPhoneGivesSiteCandidates</t>
  </si>
  <si>
    <t>AT-CTI-006</t>
  </si>
  <si>
    <t>사업장 후보에서 사업장을 고르면 그 사업장 장비 후보로 갱신</t>
  </si>
  <si>
    <t>CallIntakeControllerTest.normalSiteSelectionRefreshesAssets</t>
  </si>
  <si>
    <t>AT-CTI-007</t>
  </si>
  <si>
    <t>미등록 번호</t>
  </si>
  <si>
    <t>미등록 번호 → 발신 번호만, 시리얼 4자리만으로 전체에서 확정하지 않음</t>
  </si>
  <si>
    <t>발신 번호만, 시리얼 4자리만으로 전체에서 확정하지 않음</t>
  </si>
  <si>
    <t>CallIntakeControllerTest.normalUnknownNumberFillsNothing</t>
  </si>
  <si>
    <t>AT-CTI-008</t>
  </si>
  <si>
    <t>시리얼 끝자리가 같은 장비 2대</t>
  </si>
  <si>
    <t>시리얼 끝자리가 같은 장비 2대 → 일치한 2대만 후보 / 보조 연락처로도 찾음</t>
  </si>
  <si>
    <t>일치한 2대만 후보 / 보조 연락처로도 찾음</t>
  </si>
  <si>
    <t>CallIntakeControllerTest.normalDuplicateSerialShowsOnlyMatches</t>
  </si>
  <si>
    <t>AT-CTI-009</t>
  </si>
  <si>
    <t>장비 요약</t>
  </si>
  <si>
    <t>장비 요약 → "이 장비로 접수"는 장비·사업장·고객사가 채워진 상태</t>
  </si>
  <si>
    <t>"이 장비로 접수"는 장비·사업장·고객사가 채워진 상태</t>
  </si>
  <si>
    <t>CallIntakeControllerTest.normalIntakeForAsset</t>
  </si>
  <si>
    <t>AT-CTI-010</t>
  </si>
  <si>
    <t>제목 기본값 — 빈 값은 건너뛰고, 모두 비면 "전화 접수"</t>
  </si>
  <si>
    <t>CallIntakeControllerTest.normalDefaultSubjectSkipsBlankParts</t>
  </si>
  <si>
    <t>AT-CTI-011</t>
  </si>
  <si>
    <t>상담원이 전화 접수 저장</t>
  </si>
  <si>
    <t>상담원이 전화 접수 저장 → 경로·발신 번호·증상·기본 제목, 고객사·사업장은 저장 전 Flow가 채움</t>
  </si>
  <si>
    <t>경로·발신 번호·증상·기본 제목, 고객사·사업장은 저장 전 Flow가 채움</t>
  </si>
  <si>
    <t>CallIntakeControllerTest.normalCreateCaseAsCallCenter</t>
  </si>
  <si>
    <t>AT-CTI-012</t>
  </si>
  <si>
    <t>장비 없이 저장</t>
  </si>
  <si>
    <t>장비 없이 저장 → 기존 검증 규칙(Asset_Required)이 거부</t>
  </si>
  <si>
    <t>기존 검증 규칙(Asset_Required)이 거부</t>
  </si>
  <si>
    <t>CallIntakeControllerTest.rejectCreateCaseWithoutAsset</t>
  </si>
  <si>
    <t>AT-CTI-013</t>
  </si>
  <si>
    <t>기사는 고객 정보 권한이 없어 착신 판정·접수 생성 불가</t>
  </si>
  <si>
    <t>CallIntakeControllerTest.rejectTechnicianAccess</t>
  </si>
  <si>
    <t>AT-CTI-014</t>
  </si>
  <si>
    <t>장비 200대 사업장</t>
  </si>
  <si>
    <t>장비 200대 사업장 → 후보 200대를 한 번에 (쿼리 수 일정)</t>
  </si>
  <si>
    <t>후보 200대를 한 번에 (쿼리 수 일정)</t>
  </si>
  <si>
    <t>CallIntakeControllerTest.bulkSiteWith200Assets</t>
  </si>
  <si>
    <t>AT-CTI-015</t>
  </si>
  <si>
    <t>테스트에서 SOSL은 빈 결과</t>
  </si>
  <si>
    <t>테스트에서 SOSL은 빈 결과 → 모든 사업장·고객사를 후보로 주고 서비스의 번호 비교에 맡김</t>
  </si>
  <si>
    <t>모든 사업장·고객사를 후보로 주고 서비스의 번호 비교에 맡김</t>
  </si>
  <si>
    <t>CallIntakeControllerTest.rejectCreateCaseWithoutDraft</t>
  </si>
  <si>
    <t>AT-CTI-016</t>
  </si>
  <si>
    <t>상담원이 직접 쓴 제목은 그대로(앞뒤 공백만 정리), 발신 번호·증상 없으면 빈 값</t>
  </si>
  <si>
    <t>CallIntakeControllerTest.normalCreateCaseWithTypedSubject</t>
  </si>
  <si>
    <t>AT-CTI-017</t>
  </si>
  <si>
    <t>번호가 너무 짧으면 찾지 않음 / 고객사 없이 사업장 후보 요청은 빈 목록</t>
  </si>
  <si>
    <t>CallIntakeControllerTest.rejectShortPhoneAndEmptyScope</t>
  </si>
  <si>
    <t>AT-CTI-018</t>
  </si>
  <si>
    <t>사업장 없이 고객사 범위로 장비 후보 (사업장을 고르기 전)</t>
  </si>
  <si>
    <t>CallIntakeControllerTest.normalAssetCandidatesByAccount</t>
  </si>
  <si>
    <t>AT-CTI-019</t>
  </si>
  <si>
    <t>고객사 대표 번호 + 사업장 1곳</t>
  </si>
  <si>
    <t>고객사 대표 번호 + 사업장 1곳 → 그 사업장으로 좁혀 장비 후보 / 같은 번호 고객사 2곳 → 고객사 후보</t>
  </si>
  <si>
    <t>그 사업장으로 좁혀 장비 후보 / 같은 번호 고객사 2곳 → 고객사 후보</t>
  </si>
  <si>
    <t>CallIntakeControllerTest.normalAccountPhoneSingleSiteAndTwoAccounts</t>
  </si>
  <si>
    <t>AT-CTI-020</t>
  </si>
  <si>
    <t>모델이 있는 장비는 모델 이름 (없으면 "모델 미지정"은 normalIntakeForAsset)</t>
  </si>
  <si>
    <t>CallIntakeControllerTest.normalModelNameShown</t>
  </si>
  <si>
    <t>전화 접수(CTI) &gt; IntakeContextService</t>
  </si>
  <si>
    <t>AT-CTI-021</t>
  </si>
  <si>
    <t>고객사·사업장 카드 — 거래 상태(미수 주의)·용도 긴급·장비 수·진행 중 접수 수 (상담원)</t>
  </si>
  <si>
    <t>IntakeContextServiceTest.normalCardsAsCallCenter</t>
  </si>
  <si>
    <t>AT-CTI-022</t>
  </si>
  <si>
    <t>사업장만 넘겨도 그 사업장의 고객사 카드까지 / 둘 다 없으면 빈 카드</t>
  </si>
  <si>
    <t>IntakeContextServiceTest.normalCardsFromSiteOnly</t>
  </si>
  <si>
    <t>AT-CTI-023</t>
  </si>
  <si>
    <t>진행 중 7건</t>
  </si>
  <si>
    <t>진행 중 7건 → 전체 7, 최근 5건만, 상태 라벨 포함 / 접수 없는 장비는 0건</t>
  </si>
  <si>
    <t>전체 7, 최근 5건만, 상태 라벨 포함 / 접수 없는 장비는 0건</t>
  </si>
  <si>
    <t>IntakeContextServiceTest.bulkOpenCasesLimitedToFive</t>
  </si>
  <si>
    <t>AT-CTI-024</t>
  </si>
  <si>
    <t>장비 없이·없는 고객사·사업장 Id로 부르면 빈 결과 (오류 아님)</t>
  </si>
  <si>
    <t>IntakeContextServiceTest.rejectMissingRecordsReturnEmpty</t>
  </si>
  <si>
    <t>AT-CTI-025</t>
  </si>
  <si>
    <t>기사(고객사·사업장·장비·접수 권한 없음)</t>
  </si>
  <si>
    <t>기사(고객사·사업장·장비·접수 권한 없음) → 카드·진행 중 접수 모두 거부</t>
  </si>
  <si>
    <t>카드·진행 중 접수 모두 거부</t>
  </si>
  <si>
    <t>IntakeContextServiceTest.rejectTechnician</t>
  </si>
  <si>
    <t>고객사 · 사업장 &gt; AccountNewController</t>
  </si>
  <si>
    <t>AT-ACC-001</t>
  </si>
  <si>
    <t>상담원 권한으로 고른 유형의 API 이름을 돌려줌 (화면이 개인이면 사업자번호를 숨김)</t>
  </si>
  <si>
    <t>AccountNewControllerTest.normalCallCenterGetsDeveloperName</t>
  </si>
  <si>
    <t>AT-ACC-002</t>
  </si>
  <si>
    <t>유형 Id가 없거나 고객사 유형이 아니면 null (화면은 사업자번호를 보여 둠)</t>
  </si>
  <si>
    <t>AccountNewControllerTest.rejectMissingOrOtherIdReturnsNull</t>
  </si>
  <si>
    <t>AT-ACC-003</t>
  </si>
  <si>
    <t>화면 저장 경로 — 상담원이 개인 고객사를 사업자번호 없이 등록 (청구지는 화면 규칙대로)</t>
  </si>
  <si>
    <t>AccountNewControllerTest.normalCallCenterCreatesIndividualWithoutBusinessNumber</t>
  </si>
  <si>
    <t>AT-ACC-004</t>
  </si>
  <si>
    <t>법인인데 사업자번호 형식이 틀리면 기존 검증 규칙이 거부 (화면은 오류를 토스트로 보여 줌)</t>
  </si>
  <si>
    <t>AccountNewControllerTest.rejectCorporationWithInvalidBusinessNumber</t>
  </si>
  <si>
    <t>AT-ACC-005</t>
  </si>
  <si>
    <t>협력 기사는 고객사를 만들 수 없음 (고객사 오브젝트 권한 없음)</t>
  </si>
  <si>
    <t>AccountNewControllerTest.rejectTechnicianCannotCreateAccount</t>
  </si>
  <si>
    <t>고객사 · 사업장 &gt; AddressSearchController</t>
  </si>
  <si>
    <t>AT-ACC-006</t>
  </si>
  <si>
    <t>결과 2건</t>
  </si>
  <si>
    <t>결과 2건 → 화면에 넘길 값으로 변환, 요청은 Named Credential·merge field·인코딩된 검색어</t>
  </si>
  <si>
    <t>화면에 넘길 값으로 변환, 요청은 Named Credential·merge field·인코딩된 검색어</t>
  </si>
  <si>
    <t>AddressSearchControllerTest.normalReturnsMappedAddresses</t>
  </si>
  <si>
    <t>AT-ACC-007</t>
  </si>
  <si>
    <t>결과 없음</t>
  </si>
  <si>
    <t>결과 없음 → 빈 목록 (오류 아님)</t>
  </si>
  <si>
    <t>AddressSearchControllerTest.normalNoResultReturnsEmpty</t>
  </si>
  <si>
    <t>AT-ACC-008</t>
  </si>
  <si>
    <t>AddressSearchControllerTest.normalCallCenterUserSearches</t>
  </si>
  <si>
    <t>AT-ACC-009</t>
  </si>
  <si>
    <t>거부 문자 제거·길이 제한</t>
  </si>
  <si>
    <t>AddressSearchControllerTest.normalKeywordCleaned</t>
  </si>
  <si>
    <t>AT-ACC-010</t>
  </si>
  <si>
    <t>2글자 미만</t>
  </si>
  <si>
    <t>2글자 미만 → API를 부르지 않고 안내</t>
  </si>
  <si>
    <t>API를 부르지 않고 안내</t>
  </si>
  <si>
    <t>AddressSearchControllerTest.rejectShortKeywordWithoutCallout</t>
  </si>
  <si>
    <t>AT-ACC-011</t>
  </si>
  <si>
    <t>승인키 오류(E0001)·만료(E0014)</t>
  </si>
  <si>
    <t>승인키 오류(E0001)·만료(E0014) → 관리자 문의 안내</t>
  </si>
  <si>
    <t>관리자 문의 안내</t>
  </si>
  <si>
    <t>AddressSearchControllerTest.rejectKeyErrorsShowAdminMessage</t>
  </si>
  <si>
    <t>AT-ACC-012</t>
  </si>
  <si>
    <t>검색어 오류(E0006 등)</t>
  </si>
  <si>
    <t>검색어 오류(E0006 등) → API 메시지 그대로 사용자에게</t>
  </si>
  <si>
    <t>API 메시지 그대로 사용자에게</t>
  </si>
  <si>
    <t>AddressSearchControllerTest.rejectKeywordErrorShowsApiMessage</t>
  </si>
  <si>
    <t>AT-ACC-013</t>
  </si>
  <si>
    <t>서버 오류(HTTP 500)·연결 실패·응답 형식 오류</t>
  </si>
  <si>
    <t>서버 오류(HTTP 500)·연결 실패·응답 형식 오류 → 서버 오류 안내</t>
  </si>
  <si>
    <t>서버 오류 안내</t>
  </si>
  <si>
    <t>AddressSearchControllerTest.rejectServerErrors</t>
  </si>
  <si>
    <t>고객사 · 사업장 &gt; CustomerSiteAddressService</t>
  </si>
  <si>
    <t>AT-ACC-014</t>
  </si>
  <si>
    <t>상담원이 의정부 주소 저장</t>
  </si>
  <si>
    <t>상담원이 의정부 주소 저장 → 화면이 보낸 센터(서울)는 무시하고 매핑(경기북부)을 시스템 모드로 반영</t>
  </si>
  <si>
    <t>화면이 보낸 센터(서울)는 무시하고 매핑(경기북부)을 시스템 모드로 반영</t>
  </si>
  <si>
    <t>CustomerSiteAddressServiceTest.normalCallCenterGetsMappedCenter</t>
  </si>
  <si>
    <t>AT-ACC-015</t>
  </si>
  <si>
    <t>상담원은 서비스센터를 직접 바꿀 수 없음 (필드 읽기 전용</t>
  </si>
  <si>
    <t>상담원은 서비스센터를 직접 바꿀 수 없음 (필드 읽기 전용 → 거부, 센터 그대로)</t>
  </si>
  <si>
    <t>거부, 센터 그대로)</t>
  </si>
  <si>
    <t>CustomerSiteAddressServiceTest.rejectCallCenterEditsCenterDirectly</t>
  </si>
  <si>
    <t>AT-ACC-016</t>
  </si>
  <si>
    <t>매핑에 없는 행정구역 코드</t>
  </si>
  <si>
    <t>매핑에 없는 행정구역 코드 → 저장 거부 ("관리자에게 매핑 추가 요청"), 주소·센터 그대로</t>
  </si>
  <si>
    <t>저장 거부 ("관리자에게 매핑 추가 요청"), 주소·센터 그대로</t>
  </si>
  <si>
    <t>CustomerSiteAddressServiceTest.rejectUnmappedAddress</t>
  </si>
  <si>
    <t>AT-ACC-017</t>
  </si>
  <si>
    <t>센터장이 화면에서 다른 센터(경기남부)를 보내도 무시</t>
  </si>
  <si>
    <t>센터장이 화면에서 다른 센터(경기남부)를 보내도 무시 → 주소 매핑(경기북부)으로 자동 지정</t>
  </si>
  <si>
    <t>주소 매핑(경기북부)으로 자동 지정</t>
  </si>
  <si>
    <t>CustomerSiteAddressServiceTest.normalCenterManagerGetsMappedCenter</t>
  </si>
  <si>
    <t>AT-ACC-018</t>
  </si>
  <si>
    <t>사업장 권한이 없는 협력 기사</t>
  </si>
  <si>
    <t>사업장 권한이 없는 협력 기사 → 화면에 표시할 오류, 변경 없음</t>
  </si>
  <si>
    <t>화면에 표시할 오류, 변경 없음</t>
  </si>
  <si>
    <t>CustomerSiteAddressServiceTest.rejectTechnicianWithoutSiteAccess</t>
  </si>
  <si>
    <t>AT-ACC-019</t>
  </si>
  <si>
    <t>주소 없이 저장 요청</t>
  </si>
  <si>
    <t>주소 없이 저장 요청 → 오류</t>
  </si>
  <si>
    <t>CustomerSiteAddressServiceTest.rejectMissingAddress</t>
  </si>
  <si>
    <t>AT-ACC-020</t>
  </si>
  <si>
    <t>사업장 등록 화면 경로 — 상담원이 주소 검색 결과(행정구역 코드)와 함께 새 사업장 저장</t>
  </si>
  <si>
    <t>사업장 등록 화면 경로 — 상담원이 주소 검색 결과(행정구역 코드)와 함께 새 사업장 저장 → 센터 자동 지정(경기북부)</t>
  </si>
  <si>
    <t>센터 자동 지정(경기북부)</t>
  </si>
  <si>
    <t>CustomerSiteAddressServiceTest.normalCallCenterNewSiteGetsMappedCenter</t>
  </si>
  <si>
    <t>AT-ACC-021</t>
  </si>
  <si>
    <t>협력 기사는 사업장을 만들 수 없음 (사업장 오브젝트 권한 없음</t>
  </si>
  <si>
    <t>협력 기사는 사업장을 만들 수 없음 (사업장 오브젝트 권한 없음 → 새로 만들기 화면도 쓸 수 없음)</t>
  </si>
  <si>
    <t>새로 만들기 화면도 쓸 수 없음)</t>
  </si>
  <si>
    <t>CustomerSiteAddressServiceTest.rejectTechnicianCannotCreateSite</t>
  </si>
  <si>
    <t>고객사 · 사업장 &gt; CustomerSiteTriggerHandler</t>
  </si>
  <si>
    <t>AT-ACC-022</t>
  </si>
  <si>
    <t>상담원 등록</t>
  </si>
  <si>
    <t>상담원 등록 → 매핑 센터 자동 (의정부 → 경기북부)</t>
  </si>
  <si>
    <t>매핑 센터 자동 (의정부 → 경기북부)</t>
  </si>
  <si>
    <t>CustomerSiteTriggerHandlerTest.normalCallCenterRegistersWithAutoCenter</t>
  </si>
  <si>
    <t>AT-ACC-023</t>
  </si>
  <si>
    <t>센터장도 고르지 않음 — 등록 시 매핑 센터 (서울</t>
  </si>
  <si>
    <t>센터장도 고르지 않음 — 등록 시 매핑 센터 (서울 → 서울센터). 센터장은 V1.1상 생성 권한이 없어 관리자로 생성 후 센터장이 주소 수정</t>
  </si>
  <si>
    <t>서울센터). 센터장은 V1.1상 생성 권한이 없어 관리자로 생성 후 센터장이 주소 수정</t>
  </si>
  <si>
    <t>CustomerSiteTriggerHandlerTest.normalCenterManagerAddressChangeReassigns</t>
  </si>
  <si>
    <t>AT-ACC-024</t>
  </si>
  <si>
    <t>주소 검색 없이 등록(행정구역 코드 없음)</t>
  </si>
  <si>
    <t>주소 검색 없이 등록(행정구역 코드 없음) → "주소 검색으로 주소를 선택해 주세요"</t>
  </si>
  <si>
    <t>"주소 검색으로 주소를 선택해 주세요"</t>
  </si>
  <si>
    <t>CustomerSiteTriggerHandlerTest.rejectInsertWithoutAddressSearch</t>
  </si>
  <si>
    <t>AT-ACC-025</t>
  </si>
  <si>
    <t>주소 검색 결과 필드(도로명주소)를 손으로 바꿈(행정구역 코드 그대로)</t>
  </si>
  <si>
    <t>주소 검색 결과 필드(도로명주소)를 손으로 바꿈(행정구역 코드 그대로) → 거부</t>
  </si>
  <si>
    <t>거부</t>
  </si>
  <si>
    <t>CustomerSiteTriggerHandlerTest.rejectManualAddressEdit</t>
  </si>
  <si>
    <t>AT-ACC-026</t>
  </si>
  <si>
    <t>상세주소는 센터와 무관해 자유롭게 고칠 수 있음</t>
  </si>
  <si>
    <t>CustomerSiteTriggerHandlerTest.normalDetailAddressEditAllowed</t>
  </si>
  <si>
    <t>AT-ACC-027</t>
  </si>
  <si>
    <t>매핑 없는 행정구역 코드</t>
  </si>
  <si>
    <t>매핑 없는 행정구역 코드 → "관리자에게 매핑 추가를 요청하세요"</t>
  </si>
  <si>
    <t>"관리자에게 매핑 추가를 요청하세요"</t>
  </si>
  <si>
    <t>CustomerSiteTriggerHandlerTest.rejectUnmappedDistrict</t>
  </si>
  <si>
    <t>AT-ACC-028</t>
  </si>
  <si>
    <t>센터장이 센터를 직접 바꾸려 함</t>
  </si>
  <si>
    <t>센터장이 센터를 직접 바꾸려 함 → 필드 읽기 전용으로 거부 (센터장 수동 변경 없앰)</t>
  </si>
  <si>
    <t>필드 읽기 전용으로 거부 (센터장 수동 변경 없앰)</t>
  </si>
  <si>
    <t>CustomerSiteTriggerHandlerTest.rejectCenterManagerEditsCenterDirectly</t>
  </si>
  <si>
    <t>AT-ACC-029</t>
  </si>
  <si>
    <t>필드 권한과 무관한 경로(관리자·시스템)로 센터만 다른 값으로 바꿔도 트리거가 거부</t>
  </si>
  <si>
    <t>CustomerSiteTriggerHandlerTest.rejectSystemDirectCenterChange</t>
  </si>
  <si>
    <t>AT-ACC-030</t>
  </si>
  <si>
    <t>사업장 200건 한 번에 등록</t>
  </si>
  <si>
    <t>사업장 200건 한 번에 등록 → 모두 매핑 센터, 매핑 조회는 캐시라 SOQL 거의 없음</t>
  </si>
  <si>
    <t>모두 매핑 센터, 매핑 조회는 캐시라 SOQL 거의 없음</t>
  </si>
  <si>
    <t>CustomerSiteTriggerHandlerTest.bulk200SitesAutoCenter</t>
  </si>
  <si>
    <t>고객사 · 사업장 &gt; ServiceCenterMappingService</t>
  </si>
  <si>
    <t>AT-ACC-031</t>
  </si>
  <si>
    <t>시군구 5자리 매핑이 시도 2자리보다 우선 (경기북부 vs 경기남부)</t>
  </si>
  <si>
    <t>ServiceCenterMappingServiceTest.normalSigunguBeforeSido</t>
  </si>
  <si>
    <t>AT-ACC-032</t>
  </si>
  <si>
    <t>시도 2자리 매핑</t>
  </si>
  <si>
    <t>ServiceCenterMappingServiceTest.normalSidoMapping</t>
  </si>
  <si>
    <t>AT-ACC-033</t>
  </si>
  <si>
    <t>최신·옛 시도 코드 모두 (강원 51/42, 전북 52/45, 군위군 대구 27720/옛 경북 47720)</t>
  </si>
  <si>
    <t>ServiceCenterMappingServiceTest.normalNewAndOldSidoCodes</t>
  </si>
  <si>
    <t>AT-ACC-034</t>
  </si>
  <si>
    <t>빈 값·너무 짧은 값·매핑 없는 코드</t>
  </si>
  <si>
    <t>빈 값·너무 짧은 값·매핑 없는 코드 → null (사용자가 직접 선택)</t>
  </si>
  <si>
    <t>null (사용자가 직접 선택)</t>
  </si>
  <si>
    <t>ServiceCenterMappingServiceTest.rejectUnknownCodesReturnNull</t>
  </si>
  <si>
    <t>AT-ACC-035</t>
  </si>
  <si>
    <t>매핑의 센터 값은 모두 사업장 서비스센터 picklist에 있는 값 (오타로 저장 실패 방지)</t>
  </si>
  <si>
    <t>ServiceCenterMappingServiceTest.normalMappingValuesAreValidPicklistValues</t>
  </si>
  <si>
    <t>출동 · 부품 · 승인 &gt; WorkOrderPartsController</t>
  </si>
  <si>
    <t>AT-WOP-001</t>
  </si>
  <si>
    <t>사용 부품 목록에 부품·수량·단위 표기·판정 표시 이름, 합계는 출동 롤업·수식 값</t>
  </si>
  <si>
    <t>WorkOrderPartsControllerTest.normalGetPartsShowsRowsAndTotals</t>
  </si>
  <si>
    <t>AT-WOP-002</t>
  </si>
  <si>
    <t>차량 재고 선택지 = 출동 소유자의 차량 재고 (창고 제외), 남은 수량 0도 보이되 고를 수 없음(avai</t>
  </si>
  <si>
    <t>차량 재고 선택지 = 출동 소유자의 차량 재고 (창고 제외), 남은 수량 0도 보이되 고를 수 없음(available=false)</t>
  </si>
  <si>
    <t>WorkOrderPartsControllerTest.normalVanStockIncludesEmptyAsUnavailable</t>
  </si>
  <si>
    <t>AT-WOP-003</t>
  </si>
  <si>
    <t>남은 수량 0인 재고로는 저장하지 않음 (화면 비활성을 우회해도 서버에서 거부)</t>
  </si>
  <si>
    <t>WorkOrderPartsControllerTest.rejectEmptyStockNotSaved</t>
  </si>
  <si>
    <t>AT-WOP-004</t>
  </si>
  <si>
    <t>남은 수량보다 많이 쓰면 거부 — "차량 재고가 부족합니다(남은 n단위)…"</t>
  </si>
  <si>
    <t>WorkOrderPartsControllerTest.rejectOverRemainingQuantity</t>
  </si>
  <si>
    <t>AT-WOP-005</t>
  </si>
  <si>
    <t>정확히 남은 수량만큼은 허용</t>
  </si>
  <si>
    <t>정확히 남은 수량만큼은 허용 → 차량 재고 0</t>
  </si>
  <si>
    <t>차량 재고 0</t>
  </si>
  <si>
    <t>WorkOrderPartsControllerTest.normalExactRemainingQuantityAllowed</t>
  </si>
  <si>
    <t>AT-WOP-006</t>
  </si>
  <si>
    <t>부품 추가</t>
  </si>
  <si>
    <t>부품 추가 → 저장, 트리거가 유·무상 판정, 표준이 차량 재고 차감</t>
  </si>
  <si>
    <t>저장, 트리거가 유·무상 판정, 표준이 차량 재고 차감</t>
  </si>
  <si>
    <t>WorkOrderPartsControllerTest.normalAddPartJudgedAndStockReduced</t>
  </si>
  <si>
    <t>AT-WOP-007</t>
  </si>
  <si>
    <t>수량 0 이하, 재고 미선택은 저장하지 않고 안내 문구</t>
  </si>
  <si>
    <t>WorkOrderPartsControllerTest.rejectInvalidInput</t>
  </si>
  <si>
    <t>AT-WOP-008</t>
  </si>
  <si>
    <t>출동 없이(또는 출동이 아닌 Id로) 부르면 빈 결과 — 화면이 레코드 페이지 밖에서 열린 경우</t>
  </si>
  <si>
    <t>WorkOrderPartsControllerTest.rejectMissingWorkOrderReturnsEmpty</t>
  </si>
  <si>
    <t>AT-WOP-009</t>
  </si>
  <si>
    <t>협력 기사(최민호와 같은 권한 집합 HG_Technician) runAs — 자기 출동에서 자기 차량 재고만</t>
  </si>
  <si>
    <t>협력 기사(최민호와 같은 권한 집합 HG_Technician) runAs — 자기 출동에서 자기 차량 재고만 보이고(다른 사람 차량 제외),</t>
  </si>
  <si>
    <t>WorkOrderPartsControllerTest.normalTechnicianAddsFromOwnVan</t>
  </si>
  <si>
    <t>AT-WOP-010</t>
  </si>
  <si>
    <t>콜센터 상담원은 사용 부품을 볼 수만 있고 추가하면 오류 (권한 매트릭스: 사용 부품 읽기 전용)</t>
  </si>
  <si>
    <t>WorkOrderPartsControllerTest.rejectCallCenterCannotAdd</t>
  </si>
  <si>
    <t>AT-WOP-011</t>
  </si>
  <si>
    <t>사용 부품 200건</t>
  </si>
  <si>
    <t>사용 부품 200건 → 목록 200행, 조회 몇 번</t>
  </si>
  <si>
    <t>목록 200행, 조회 몇 번</t>
  </si>
  <si>
    <t>WorkOrderPartsControllerTest.bulk200PartsListed</t>
  </si>
  <si>
    <t>AT-WOP-012</t>
  </si>
  <si>
    <t>기사가 최종 판정을 자동 판정과 다르게 + 변경 사유</t>
  </si>
  <si>
    <t>기사가 최종 판정을 자동 판정과 다르게 + 변경 사유 → 저장, 목록에 사유·자동 판정이 보이고 수정 가능</t>
  </si>
  <si>
    <t>저장, 목록에 사유·자동 판정이 보이고 수정 가능</t>
  </si>
  <si>
    <t>WorkOrderPartsControllerTest.normalTechnicianChangesChargeWithReason</t>
  </si>
  <si>
    <t>AT-WOP-013</t>
  </si>
  <si>
    <t>자동 판정과 다르게 바꾸면서 사유가 없으면 검증 규칙(OverrideReason_Required) 문구로 거</t>
  </si>
  <si>
    <t>자동 판정과 다르게 바꾸면서 사유가 없으면 검증 규칙(OverrideReason_Required) 문구로 거부, 값은 그대로</t>
  </si>
  <si>
    <t>WorkOrderPartsControllerTest.rejectChangeWithoutReason</t>
  </si>
  <si>
    <t>AT-WOP-014</t>
  </si>
  <si>
    <t>승인 대기·완료 출동은 잠김 — 목록은 잠김 안내, 추가·판정 변경·삭제 모두 거부</t>
  </si>
  <si>
    <t>WorkOrderPartsControllerTest.rejectLockedWhenPendingApprovalOrCompleted</t>
  </si>
  <si>
    <t>AT-WOP-015</t>
  </si>
  <si>
    <t>정상·불허: ERP 실패 건은 기사가 삭제, ERP 완료 건은 삭제 버튼 없음·서버도 거부</t>
  </si>
  <si>
    <t>WorkOrderPartsControllerTest.normalDeleteFailedPartRejectSynced</t>
  </si>
  <si>
    <t>출동 · 부품 · 승인 &gt; VanStockService</t>
  </si>
  <si>
    <t>AT-WOP-016</t>
  </si>
  <si>
    <t>화면을 거치지 않고(표준 새로 만들기·데이터 로더와 같은 insert) 남은 수량보다 많이 쓰면 트리거가 거</t>
  </si>
  <si>
    <t>화면을 거치지 않고(표준 새로 만들기·데이터 로더와 같은 insert) 남은 수량보다 많이 쓰면 트리거가 거부, 문구는 화면과 같음</t>
  </si>
  <si>
    <t>VanStockServiceTest.rejectOverRemainingViaTrigger</t>
  </si>
  <si>
    <t>AT-WOP-017</t>
  </si>
  <si>
    <t>트리거 경로에서도 정확히 남은 수량만큼은 허용</t>
  </si>
  <si>
    <t>트리거 경로에서도 정확히 남은 수량만큼은 허용 → 차량 재고 0</t>
  </si>
  <si>
    <t>VanStockServiceTest.normalExactRemainingViaTrigger</t>
  </si>
  <si>
    <t>AT-WOP-018</t>
  </si>
  <si>
    <t>남은 수량 0인 재고</t>
  </si>
  <si>
    <t>남은 수량 0인 재고 → "재고 없음" 문구 (화면과 같음)</t>
  </si>
  <si>
    <t>"재고 없음" 문구 (화면과 같음)</t>
  </si>
  <si>
    <t>VanStockServiceTest.rejectEmptyStockViaTrigger</t>
  </si>
  <si>
    <t>AT-WOP-019</t>
  </si>
  <si>
    <t>같은 재고 200건(1.5kg씩 = 정확히 300kg) + 1건</t>
  </si>
  <si>
    <t>같은 재고 200건(1.5kg씩 = 정확히 300kg) + 1건 → 순서대로 누적, 200건 저장·마지막 1건만 거부(남은 0)</t>
  </si>
  <si>
    <t>순서대로 누적, 200건 저장·마지막 1건만 거부(남은 0)</t>
  </si>
  <si>
    <t>VanStockServiceTest.bulkSameItemCumulativeInOrder</t>
  </si>
  <si>
    <t>AT-WOP-020</t>
  </si>
  <si>
    <t>단위 표기 (Each</t>
  </si>
  <si>
    <t>단위 표기 (Each → 개, kg, 없음 → 빈 값, 그 외 값 그대로)</t>
  </si>
  <si>
    <t>개, kg, 없음 → 빈 값, 그 외 값 그대로)</t>
  </si>
  <si>
    <t>VanStockServiceTest.normalUnitLabels</t>
  </si>
  <si>
    <t>출동 · 부품 · 승인 &gt; WarrantyService</t>
  </si>
  <si>
    <t>AT-WOP-021</t>
  </si>
  <si>
    <t>설치 2년 차</t>
  </si>
  <si>
    <t>설치 2년 차 → 압축기는 압축기 만료일 기준 무상, 일반 부품은 기본 만료일 기준 유상</t>
  </si>
  <si>
    <t>압축기는 압축기 만료일 기준 무상, 일반 부품은 기본 만료일 기준 유상</t>
  </si>
  <si>
    <t>WarrantyServiceTest.normalTwoYearAssetCompressorFreeGeneralPaid</t>
  </si>
  <si>
    <t>AT-WOP-022</t>
  </si>
  <si>
    <t>보증 미확정(만료일 없음)</t>
  </si>
  <si>
    <t>보증 미확정(만료일 없음) → 유상, 판정 만료일 비어 있음</t>
  </si>
  <si>
    <t>유상, 판정 만료일 비어 있음</t>
  </si>
  <si>
    <t>WarrantyServiceTest.normalUnknownWarrantyIsPaid</t>
  </si>
  <si>
    <t>AT-WOP-023</t>
  </si>
  <si>
    <t>연장보증 장비</t>
  </si>
  <si>
    <t>연장보증 장비 → 일반 부품도 연장 만료일 기준 무상</t>
  </si>
  <si>
    <t>일반 부품도 연장 만료일 기준 무상</t>
  </si>
  <si>
    <t>WarrantyServiceTest.normalExtendedWarrantyGeneralIsFree</t>
  </si>
  <si>
    <t>AT-WOP-024</t>
  </si>
  <si>
    <t>사람이 정한 최종 판정은 덮어쓰지 않음 (자동 무상이어도 유상 유지, 사유 입력)</t>
  </si>
  <si>
    <t>WarrantyServiceTest.normalManualChargeTypeIsNotOverwritten</t>
  </si>
  <si>
    <t>AT-WOP-025</t>
  </si>
  <si>
    <t>협력 기사(HG_Technician, 고객사·장비·접수 권한 없음)가 사용 부품을 입력해도 트리거 경유 판정</t>
  </si>
  <si>
    <t>협력 기사(HG_Technician, 고객사·장비·접수 권한 없음)가 사용 부품을 입력해도 트리거 경유 판정이 정상 동작</t>
  </si>
  <si>
    <t>WarrantyServiceTest.normalTechnicianUserJudgesViaTrigger</t>
  </si>
  <si>
    <t>AT-WOP-026</t>
  </si>
  <si>
    <t>빈 입력(null·빈 목록)은 아무것도 하지 않음</t>
  </si>
  <si>
    <t>WarrantyServiceTest.normalEmptyInputDoesNothing</t>
  </si>
  <si>
    <t>AT-WOP-027</t>
  </si>
  <si>
    <t>Product2Id가 이미 채워진 사용 부품은 재고를 거치지 않고 부품으로 바로 분류 (메모리 레코드로 직접</t>
  </si>
  <si>
    <t>Product2Id가 이미 채워진 사용 부품은 재고를 거치지 않고 부품으로 바로 분류 (메모리 레코드로 직접 호출)</t>
  </si>
  <si>
    <t>WarrantyServiceTest.normalProduct2IdUsedDirectly</t>
  </si>
  <si>
    <t>AT-WOP-028</t>
  </si>
  <si>
    <t>판정 기준일·적용 만료일 보조 계산의 경계 (출동·접수·장비 없음, 압축기·연장 만료일 중 늦은 날)</t>
  </si>
  <si>
    <t>WarrantyServiceTest.normalDateHelpersHandleMissingAndLaterDates</t>
  </si>
  <si>
    <t>AT-WOP-029</t>
  </si>
  <si>
    <t>자동 판정(무상)과 다르게 유상으로 확정하면서 사유가 없으면 저장 거부 (Validation Rule Ove</t>
  </si>
  <si>
    <t>자동 판정(무상)과 다르게 유상으로 확정하면서 사유가 없으면 저장 거부 (Validation Rule OverrideReason_Required)</t>
  </si>
  <si>
    <t>WarrantyServiceTest.rejectOverrideWithoutReason</t>
  </si>
  <si>
    <t>AT-WOP-030</t>
  </si>
  <si>
    <t>200건 한 번에 insert → 전부 판정, 분류별 결과 일치</t>
  </si>
  <si>
    <t>전부 판정, 분류별 결과 일치</t>
  </si>
  <si>
    <t>WarrantyServiceTest.bulkInsertJudgesAll</t>
  </si>
  <si>
    <t>AT-WOP-031</t>
  </si>
  <si>
    <t>200건 중 사유 없이 유상 확정한 100건만 거부, 나머지 100건은 무상으로 저장</t>
  </si>
  <si>
    <t>WarrantyServiceTest.bulkPartialRejectWithoutReason</t>
  </si>
  <si>
    <t>출동 · 부품 · 승인 &gt; WorkOrderApproval</t>
  </si>
  <si>
    <t>AT-WOP-032</t>
  </si>
  <si>
    <t>총 청구액 = 기준액(초과 아님), 예외 무상 없음</t>
  </si>
  <si>
    <t>총 청구액 = 기준액(초과 아님), 예외 무상 없음 → 승인 대상 아님. fmNeedsApproval__c도 거짓</t>
  </si>
  <si>
    <t>승인 대상 아님. fmNeedsApproval__c도 거짓</t>
  </si>
  <si>
    <t>WorkOrderApprovalTest.rejectAtThresholdNotSubmitted</t>
  </si>
  <si>
    <t>AT-WOP-033</t>
  </si>
  <si>
    <t>기준액 + 1 + 고객 동의</t>
  </si>
  <si>
    <t>기준액 + 1 + 고객 동의 → 승인 요청됨. fmNeedsApproval__c도 참</t>
  </si>
  <si>
    <t>승인 요청됨. fmNeedsApproval__c도 참</t>
  </si>
  <si>
    <t>WorkOrderApprovalTest.normalOverThresholdWithConsentSubmitted</t>
  </si>
  <si>
    <t>AT-WOP-034</t>
  </si>
  <si>
    <t>기준액 + 1인데 고객 동의 없음</t>
  </si>
  <si>
    <t>기준액 + 1인데 고객 동의 없음 → 승인 요청 불가(고액 유상은 동의가 있어야 요청)</t>
  </si>
  <si>
    <t>승인 요청 불가(고액 유상은 동의가 있어야 요청)</t>
  </si>
  <si>
    <t>WorkOrderApprovalTest.rejectOverThresholdWithoutConsent</t>
  </si>
  <si>
    <t>출동 · 부품 · 승인 &gt; WorkOrderApprovalFlow</t>
  </si>
  <si>
    <t>AT-WOP-035</t>
  </si>
  <si>
    <t>기사가 사유 + 고객 동의로 요청</t>
  </si>
  <si>
    <t>기사가 사유 + 고객 동의로 요청 → 저장·승인 대기, 승인자 = 센터장(Manager), 메모 = 제출 코멘트</t>
  </si>
  <si>
    <t>저장·승인 대기, 승인자 = 센터장(Manager), 메모 = 제출 코멘트</t>
  </si>
  <si>
    <t>WorkOrderApprovalFlowTest.normalSubmittedAsTechnician</t>
  </si>
  <si>
    <t>AT-WOP-036</t>
  </si>
  <si>
    <t>기준 초과인데 고객 동의 없음</t>
  </si>
  <si>
    <t>기준 초과인데 고객 동의 없음 → 승인 프로세스 진입 조건이 거부, 실패 결과 반환</t>
  </si>
  <si>
    <t>승인 프로세스 진입 조건이 거부, 실패 결과 반환</t>
  </si>
  <si>
    <t>WorkOrderApprovalFlowTest.rejectWithoutConsentNotSubmitted</t>
  </si>
  <si>
    <t>AT-WOP-037</t>
  </si>
  <si>
    <t>도착 전(Accepted) 출동</t>
  </si>
  <si>
    <t>도착 전(Accepted) 출동 → 승인 프로세스 진입 조건이 거부</t>
  </si>
  <si>
    <t>승인 프로세스 진입 조건이 거부</t>
  </si>
  <si>
    <t>WorkOrderApprovalFlowTest.rejectNotArrived</t>
  </si>
  <si>
    <t>AT-WOP-038</t>
  </si>
  <si>
    <t>사용 부품이 있으면 부품마다 한 줄([부품] 이름 ×수량 유상·무상 ₩금액), 메모가 없으면 [메모] 줄 없</t>
  </si>
  <si>
    <t>사용 부품이 있으면 부품마다 한 줄([부품] 이름 ×수량 유상·무상 ₩금액), 메모가 없으면 [메모] 줄 없음</t>
  </si>
  <si>
    <t>WorkOrderApprovalFlowTest.normalSummaryHasPartLines</t>
  </si>
  <si>
    <t>ERP 연동(IF-02·03·06) &gt; ErpCallLogger</t>
  </si>
  <si>
    <t>AT-ERP-001</t>
  </si>
  <si>
    <t>보내기(IF-03) 2건 묶음</t>
  </si>
  <si>
    <t>보내기(IF-03) 2건 묶음 → 기록 1줄, 요청·응답 JSON, 거부 포함 + 첫 거부 사유, 관련 출동 번호·refId</t>
  </si>
  <si>
    <t>기록 1줄, 요청·응답 JSON, 거부 포함 + 첫 거부 사유, 관련 출동 번호·refId</t>
  </si>
  <si>
    <t>ErpCallLoggerTest.normalOutboundLoggedWithRejection</t>
  </si>
  <si>
    <t>AT-ERP-002</t>
  </si>
  <si>
    <t>보내기 HTTP 503</t>
  </si>
  <si>
    <t>보내기 HTTP 503 → 실패 기록(상태 503, 응답 본문), 본 처리(사용 부품 실패 상태 저장)는 그대로</t>
  </si>
  <si>
    <t>실패 기록(상태 503, 응답 본문), 본 처리(사용 부품 실패 상태 저장)는 그대로</t>
  </si>
  <si>
    <t>ErpCallLoggerTest.rejectOutboundHttpErrorLogged</t>
  </si>
  <si>
    <t>AT-ERP-003</t>
  </si>
  <si>
    <t>가져오기(IF-02-R) 0건 호출도 기록 1줄 (GET, 조회 조건, 건수 0, 성공)</t>
  </si>
  <si>
    <t>ErpCallLoggerTest.normalPullZeroItemsLogged</t>
  </si>
  <si>
    <t>AT-ERP-004</t>
  </si>
  <si>
    <t>가져오기 HTTP 503</t>
  </si>
  <si>
    <t>가져오기 HTTP 503 → 예외가 나도 실패 기록은 남음</t>
  </si>
  <si>
    <t>예외가 나도 실패 기록은 남음</t>
  </si>
  <si>
    <t>ErpCallLoggerTest.rejectPullHttpErrorLogged</t>
  </si>
  <si>
    <t>AT-ERP-005</t>
  </si>
  <si>
    <t>받기 푸시(IF-02-P)</t>
  </si>
  <si>
    <t>받기 푸시(IF-02-P) → 받은 본문·돌려준 본문 기록, 헤더(키·토큰)는 기록 안 함, 없는 코드는 거부 포함</t>
  </si>
  <si>
    <t>받은 본문·돌려준 본문 기록, 헤더(키·토큰)는 기록 안 함, 없는 코드는 거부 포함</t>
  </si>
  <si>
    <t>ErpCallLoggerTest.normalPushLoggedWithoutToken</t>
  </si>
  <si>
    <t>AT-ERP-006</t>
  </si>
  <si>
    <t>한도를 넘는 본문은 잘라 표시하고 "잘림" 체크</t>
  </si>
  <si>
    <t>ErpCallLoggerTest.normalLongBodyClipped</t>
  </si>
  <si>
    <t>ERP 연동(IF-02·03·06) &gt; ErpInventoryService</t>
  </si>
  <si>
    <t>AT-ERP-007</t>
  </si>
  <si>
    <t>ERP 차감 성공</t>
  </si>
  <si>
    <t>ERP 차감 성공 → 완료, 남은 수량 기록, Salesforce 수량과 같으면 불일치 아님, 요청에 위치·부품 코드·수량</t>
  </si>
  <si>
    <t>완료, 남은 수량 기록, Salesforce 수량과 같으면 불일치 아님, 요청에 위치·부품 코드·수량</t>
  </si>
  <si>
    <t>ErpInventoryServiceTest.normalSuccessMarksSynced</t>
  </si>
  <si>
    <t>AT-ERP-008</t>
  </si>
  <si>
    <t>ERP 남은 수량이 Salesforce 재고와 다르면 불일치 체크, Salesforce 수량은 그대로</t>
  </si>
  <si>
    <t>ErpInventoryServiceTest.normalMismatchFlaggedWithoutFixingQuantity</t>
  </si>
  <si>
    <t>AT-ERP-009</t>
  </si>
  <si>
    <t>ERP 재고 부족</t>
  </si>
  <si>
    <t>ERP 재고 부족 → 확인 필요, 코드가 메시지에, 재시도 대상 아님</t>
  </si>
  <si>
    <t>확인 필요, 코드가 메시지에, 재시도 대상 아님</t>
  </si>
  <si>
    <t>ErpInventoryServiceTest.rejectInsufficientStockNeedsReview</t>
  </si>
  <si>
    <t>AT-ERP-010</t>
  </si>
  <si>
    <t>ERP 장애(503)·인증 오류(401)</t>
  </si>
  <si>
    <t>ERP 장애(503)·인증 오류(401) → 실패(일시적), 재시도 횟수 0</t>
  </si>
  <si>
    <t>실패(일시적), 재시도 횟수 0</t>
  </si>
  <si>
    <t>ErpInventoryServiceTest.rejectServerAndAuthErrorsAreTransient</t>
  </si>
  <si>
    <t>AT-ERP-011</t>
  </si>
  <si>
    <t>시간 초과·연결 실패</t>
  </si>
  <si>
    <t>시간 초과·연결 실패 → 실패</t>
  </si>
  <si>
    <t>실패</t>
  </si>
  <si>
    <t>ErpInventoryServiceTest.rejectTimeoutIsTransient</t>
  </si>
  <si>
    <t>AT-ERP-012</t>
  </si>
  <si>
    <t>재전송에서도 실패해 상한(3회) 도달</t>
  </si>
  <si>
    <t>재전송에서도 실패해 상한(3회) 도달 → 확인 필요 [RETRY_EXHAUSTED], 그 전까지는 실패 + 횟수 증가</t>
  </si>
  <si>
    <t>확인 필요 [RETRY_EXHAUSTED], 그 전까지는 실패 + 횟수 증가</t>
  </si>
  <si>
    <t>ErpInventoryServiceTest.rejectRetryExhaustedNeedsReview</t>
  </si>
  <si>
    <t>AT-ERP-013</t>
  </si>
  <si>
    <t>ERP 위치 코드가 없는 재고</t>
  </si>
  <si>
    <t>ERP 위치 코드가 없는 재고 → 보내지 않고 확인 필요 [MISSING_CODE]</t>
  </si>
  <si>
    <t>보내지 않고 확인 필요 [MISSING_CODE]</t>
  </si>
  <si>
    <t>ErpInventoryServiceTest.rejectMissingErpCodeWithoutCallout</t>
  </si>
  <si>
    <t>AT-ERP-014</t>
  </si>
  <si>
    <t>사용 부품 200건 → Queueable 1개, 콜아웃 1번, 전부 완료</t>
  </si>
  <si>
    <t>Queueable 1개, 콜아웃 1번, 전부 완료</t>
  </si>
  <si>
    <t>ErpInventoryServiceTest.bulk200PartsOneCallout</t>
  </si>
  <si>
    <t>AT-ERP-015</t>
  </si>
  <si>
    <t>기사가 사용 부품을 저장하면 ERP로 차감 전송</t>
  </si>
  <si>
    <t>기사가 사용 부품을 저장하면 ERP로 차감 전송 → ERP 연동 상태 완료, ERP 남은 수량 기록</t>
  </si>
  <si>
    <t>ERP 연동 상태 완료, ERP 남은 수량 기록</t>
  </si>
  <si>
    <t>ErpInventoryServiceTest.normalTechnicianSaveSyncsToErp</t>
  </si>
  <si>
    <t>AT-ERP-016</t>
  </si>
  <si>
    <t>실패 상태·영구적 실패로 확인 필요인 사용 부품은 삭제 가능. 재고 되돌림은 Salesforce 표준(커밋된</t>
  </si>
  <si>
    <t>실패 상태·영구적 실패로 확인 필요인 사용 부품은 삭제 가능. 재고 되돌림은 Salesforce 표준(커밋된 건만)이라 Apex는 손대지 않음 (R6)</t>
  </si>
  <si>
    <t>ErpInventoryServiceTest.normalDeleteAllowedWhenNotReflected</t>
  </si>
  <si>
    <t>AT-ERP-017</t>
  </si>
  <si>
    <t>완료·대기·재시도 초과 사용 부품은 삭제 거부 (안내 문구)</t>
  </si>
  <si>
    <t>ErpInventoryServiceTest.rejectDeleteWhenReflectedOrUnknown</t>
  </si>
  <si>
    <t>AT-ERP-018</t>
  </si>
  <si>
    <t>삭제한 사용 부품을 휴지통에서 복원하면 거부 (잘못 지웠으면 새로 입력)</t>
  </si>
  <si>
    <t>ErpInventoryServiceTest.rejectUndeleteDeletedPart</t>
  </si>
  <si>
    <t>AT-ERP-019</t>
  </si>
  <si>
    <t>200건 한 번에 삭제(실패 100 + 완료 100, 부분 성공)</t>
  </si>
  <si>
    <t>200건 한 번에 삭제(실패 100 + 완료 100, 부분 성공) → 실패 100건만 삭제, 완료 100건은 거부(재고 되돌림은 표준 — 테스트 트랜잭션에선 없음)</t>
  </si>
  <si>
    <t>실패 100건만 삭제, 완료 100건은 거부(재고 되돌림은 표준 — 테스트 트랜잭션에선 없음)</t>
  </si>
  <si>
    <t>ErpInventoryServiceTest.bulkDelete200OnlyAllowed</t>
  </si>
  <si>
    <t>AT-ERP-020</t>
  </si>
  <si>
    <t>ERP가 200인데 읽을 수 없는 본문을 주면 실패(일시적) [BAD_RESPONSE]</t>
  </si>
  <si>
    <t>ERP가 200인데 읽을 수 없는 본문을 주면 실패(일시적) [BAD_RESPONSE] → 재전송 대상</t>
  </si>
  <si>
    <t>재전송 대상</t>
  </si>
  <si>
    <t>ErpInventoryServiceTest.rejectUnreadableResponseIsTransient</t>
  </si>
  <si>
    <t>AT-ERP-021</t>
  </si>
  <si>
    <t>ERP 응답에 이 건의 결과가 빠지면 실패 [NO_RESULT] (반영 여부를 모르므로 재전송, ERP가 중</t>
  </si>
  <si>
    <t>ERP 응답에 이 건의 결과가 빠지면 실패 [NO_RESULT] (반영 여부를 모르므로 재전송, ERP가 중복은 무시)</t>
  </si>
  <si>
    <t>ErpInventoryServiceTest.rejectMissingResultIsTransient</t>
  </si>
  <si>
    <t>AT-ERP-022</t>
  </si>
  <si>
    <t>HTTP 400(요청 형식 오류)은 다시 보내도 같으므로 확인 필요</t>
  </si>
  <si>
    <t>ErpInventoryServiceTest.rejectBadRequestNeedsReview</t>
  </si>
  <si>
    <t>AT-ERP-023</t>
  </si>
  <si>
    <t xml:space="preserve">ERP가 15자리 Id로 돌려줘도 같은 건으로 찾아 완료, 화면 표시는 "남은 수량 + 단위 표기"(수식의 </t>
  </si>
  <si>
    <t>ERP가 15자리 Id로 돌려줘도 같은 건으로 찾아 완료, 화면 표시는 "남은 수량 + 단위 표기"(수식의 Custom Label)</t>
  </si>
  <si>
    <t>ErpInventoryServiceTest.normalShortIdMatchedAndUnitShown</t>
  </si>
  <si>
    <t>AT-ERP-024</t>
  </si>
  <si>
    <t>협력 기사가 자기 차량 재고로 입력한 실패 건을 직접 삭제(기사 권한). 재고 되돌림은 표준 몫 — Apex</t>
  </si>
  <si>
    <t>협력 기사가 자기 차량 재고로 입력한 실패 건을 직접 삭제(기사 권한). 재고 되돌림은 표준 몫 — Apex 보정 없음(R6)</t>
  </si>
  <si>
    <t>ErpInventoryServiceTest.normalTechnicianDeletesFailedPart</t>
  </si>
  <si>
    <t>ERP 연동(IF-02·03·06) &gt; ErpRetryBatch</t>
  </si>
  <si>
    <t>AT-ERP-025</t>
  </si>
  <si>
    <t>실패 건은 재전송, 멈춘 대기 건은 첫 전송 (사용 부품·재고 이동 모두)</t>
  </si>
  <si>
    <t>실패 건은 재전송, 멈춘 대기 건은 첫 전송 (사용 부품·재고 이동 모두) → 모두 완료</t>
  </si>
  <si>
    <t>모두 완료</t>
  </si>
  <si>
    <t>ErpRetryBatchTest.normalRetriesFailedAndStuckPending</t>
  </si>
  <si>
    <t>AT-ERP-026</t>
  </si>
  <si>
    <t>완료·확인 필요·재시도 초과(횟수 = 상한)·방금 저장된 대기 건은 보내지 않음</t>
  </si>
  <si>
    <t>ErpRetryBatchTest.rejectSkipsNonTargets</t>
  </si>
  <si>
    <t>AT-ERP-027</t>
  </si>
  <si>
    <t>재전송에서도 실패해 상한 도달</t>
  </si>
  <si>
    <t>재전송에서도 실패해 상한 도달 → 확인 필요 [RETRY_EXHAUSTED]</t>
  </si>
  <si>
    <t>확인 필요 [RETRY_EXHAUSTED]</t>
  </si>
  <si>
    <t>ErpRetryBatchTest.rejectRetryFailsAgainNeedsReview</t>
  </si>
  <si>
    <t>AT-ERP-028</t>
  </si>
  <si>
    <t>실패 사용 부품 200건</t>
  </si>
  <si>
    <t>실패 사용 부품 200건 → 묶음 1개, 콜아웃 1번, 전부 완료</t>
  </si>
  <si>
    <t>묶음 1개, 콜아웃 1번, 전부 완료</t>
  </si>
  <si>
    <t>ErpRetryBatchTest.bulk200FailedOneCallout</t>
  </si>
  <si>
    <t>AT-ERP-029</t>
  </si>
  <si>
    <t>예약 작업이 실행되면 재전송 Batch를 시작</t>
  </si>
  <si>
    <t>ErpRetryBatchTest.normalSchedulableStartsBatch</t>
  </si>
  <si>
    <t>ERP 연동(IF-02·03·06) &gt; ErpStockSyncService</t>
  </si>
  <si>
    <t>AT-ERP-030</t>
  </si>
  <si>
    <t>ERP 입고 +5, 조정 -1.5</t>
  </si>
  <si>
    <t>ERP 입고 +5, 조정 -1.5 → 현재 + 변동량, 기록 2건 반영, 이력 번호 102로</t>
  </si>
  <si>
    <t>현재 + 변동량, 기록 2건 반영, 이력 번호 102로</t>
  </si>
  <si>
    <t>ErpStockSyncServiceTest.normalReceiptAndAdjustApplied</t>
  </si>
  <si>
    <t>AT-ERP-031</t>
  </si>
  <si>
    <t>Salesforce에 없던 위치+부품(차량의 압축기) 입고</t>
  </si>
  <si>
    <t>Salesforce에 없던 위치+부품(차량의 압축기) 입고 → 재고 새로 생성, 소유자 = 차량 소유자(기사), 단위</t>
  </si>
  <si>
    <t>재고 새로 생성, 소유자 = 차량 소유자(기사), 단위</t>
  </si>
  <si>
    <t>ErpStockSyncServiceTest.normalNewStockCreated</t>
  </si>
  <si>
    <t>AT-ERP-032</t>
  </si>
  <si>
    <t>Salesforce가 보낸 사용 차감·재고 이동과 초기 적재는 건너뜀 (재고·기록 그대로), 이력 번호는 넘</t>
  </si>
  <si>
    <t>Salesforce가 보낸 사용 차감·재고 이동과 초기 적재는 건너뜀 (재고·기록 그대로), 이력 번호는 넘어감</t>
  </si>
  <si>
    <t>ErpStockSyncServiceTest.rejectSalesforceOriginSkipped</t>
  </si>
  <si>
    <t>AT-ERP-033</t>
  </si>
  <si>
    <t>ERP 장애(503)</t>
  </si>
  <si>
    <t>ERP 장애(503) → 예외, 이력 번호 그대로 (다음 실행에서 다시), 재고 그대로</t>
  </si>
  <si>
    <t>예외, 이력 번호 그대로 (다음 실행에서 다시), 재고 그대로</t>
  </si>
  <si>
    <t>ErpStockSyncServiceTest.rejectConnectionFailureKeepsCursor</t>
  </si>
  <si>
    <t>AT-ERP-034</t>
  </si>
  <si>
    <t>없는 코드·0 미만이 되는 조정은 오류로 기록하고 건너뜀 (다시 해도 같으므로 번호는 넘어감)</t>
  </si>
  <si>
    <t>ErpStockSyncServiceTest.rejectDataProblemsLoggedAndSkipped</t>
  </si>
  <si>
    <t>AT-ERP-035</t>
  </si>
  <si>
    <t>같은 변동은 한 번만 ① 이미 가져온 번호(101) 이후만 조회하므로 다시 실행해도 가져올 것 없음</t>
  </si>
  <si>
    <t>ErpStockSyncServiceTest.normalAlreadyFetchedNotFetchedAgain</t>
  </si>
  <si>
    <t>AT-ERP-036</t>
  </si>
  <si>
    <t>같은 변동은 한 번만 ② 이미 기록이 있는 번호(101, 푸시로 먼저 반영된 경우 등)는 건너뜀</t>
  </si>
  <si>
    <t>같은 변동은 한 번만 ② 이미 기록이 있는 번호(101, 푸시로 먼저 반영된 경우 등)는 건너뜀 → 쪽은 정상 처리, 번호는 101로, 이중 반영 없음</t>
  </si>
  <si>
    <t>쪽은 정상 처리, 번호는 101로, 이중 반영 없음</t>
  </si>
  <si>
    <t>ErpStockSyncServiceTest.normalDuplicateMovementSkippedOnce</t>
  </si>
  <si>
    <t>AT-ERP-037</t>
  </si>
  <si>
    <t>기준점(이력 번호)이 없으면 가져오지 않음 (초기 적재·과거 이력 반영 방지)</t>
  </si>
  <si>
    <t>ErpStockSyncServiceTest.rejectWithoutBaseline</t>
  </si>
  <si>
    <t>AT-ERP-038</t>
  </si>
  <si>
    <t>미리 보기는 건수만 세고 반영·번호 저장 안 함</t>
  </si>
  <si>
    <t>ErpStockSyncServiceTest.normalPreviewCountsOnly</t>
  </si>
  <si>
    <t>AT-ERP-039</t>
  </si>
  <si>
    <t>ERP 입고 200건</t>
  </si>
  <si>
    <t>ERP 입고 200건 → 콜아웃 1번, 재고 +200, 기록 200건</t>
  </si>
  <si>
    <t>콜아웃 1번, 재고 +200, 기록 200건</t>
  </si>
  <si>
    <t>ErpStockSyncServiceTest.bulk200ReceiptsOneCallout</t>
  </si>
  <si>
    <t>AT-ERP-040</t>
  </si>
  <si>
    <t>Batch가 한 쪽을 가져와 반영, 예약 작업은 Batch를 시작</t>
  </si>
  <si>
    <t>ErpStockSyncServiceTest.normalBatchAndSchedule</t>
  </si>
  <si>
    <t>AT-ERP-041</t>
  </si>
  <si>
    <t>ERP 장애면 Batch는 그 쪽에서 멈추고 다음 쪽은 부르지 않음, 이력 번호·재고 그대로</t>
  </si>
  <si>
    <t>ErpStockSyncServiceTest.rejectBatchStopsAfterFailure</t>
  </si>
  <si>
    <t>ERP 연동(IF-02·03·06) &gt; ErpMovementResource</t>
  </si>
  <si>
    <t>AT-ERP-042</t>
  </si>
  <si>
    <t>ERP 입고 +5</t>
  </si>
  <si>
    <t>ERP 입고 +5 → 10 + 5, 기록 "반영 · 푸시", 이력 번호(가져오기 기준)는 그대로, 응답 APPLIED + 반영 후 수량</t>
  </si>
  <si>
    <t>10 + 5, 기록 "반영 · 푸시", 이력 번호(가져오기 기준)는 그대로, 응답 APPLIED + 반영 후 수량</t>
  </si>
  <si>
    <t>ErpMovementResourceTest.normalReceiptApplied</t>
  </si>
  <si>
    <t>AT-ERP-043</t>
  </si>
  <si>
    <t>레코드를 하나도 못 보는 사용자(연동 사용자와 같은 처지)로 호출해도 위치·재고를 찾아 반영</t>
  </si>
  <si>
    <t>ErpMovementResourceTest.normalAppliedByUserWithoutRecordAccess</t>
  </si>
  <si>
    <t>AT-ERP-044</t>
  </si>
  <si>
    <t>Salesforce에 없던 재고(차량 압축기) 입고</t>
  </si>
  <si>
    <t>Salesforce에 없던 재고(차량 압축기) 입고 → 새로 생성</t>
  </si>
  <si>
    <t>새로 생성</t>
  </si>
  <si>
    <t>ErpMovementResourceTest.normalNewStockCreated</t>
  </si>
  <si>
    <t>AT-ERP-045</t>
  </si>
  <si>
    <t>이미 기록된 번호·같은 요청 안의 반복 번호</t>
  </si>
  <si>
    <t>이미 기록된 번호·같은 요청 안의 반복 번호 → DUPLICATE, 한 번만 반영</t>
  </si>
  <si>
    <t>DUPLICATE, 한 번만 반영</t>
  </si>
  <si>
    <t>ErpMovementResourceTest.rejectDuplicateAppliedOnce</t>
  </si>
  <si>
    <t>AT-ERP-046</t>
  </si>
  <si>
    <t>Salesforce 출처(사용 차감)·초기 적재</t>
  </si>
  <si>
    <t>Salesforce 출처(사용 차감)·초기 적재 → SKIPPED, 재고·기록 변화 없음</t>
  </si>
  <si>
    <t>SKIPPED, 재고·기록 변화 없음</t>
  </si>
  <si>
    <t>ErpMovementResourceTest.rejectNonErpOriginSkipped</t>
  </si>
  <si>
    <t>AT-ERP-047</t>
  </si>
  <si>
    <t>데이터 문제(없는 부품 코드, 0 미만이 되는 조정)</t>
  </si>
  <si>
    <t>데이터 문제(없는 부품 코드, 0 미만이 되는 조정) → ERROR + 오류 기록, 재고 그대로</t>
  </si>
  <si>
    <t>ERROR + 오류 기록, 재고 그대로</t>
  </si>
  <si>
    <t>ErpMovementResourceTest.rejectDataProblemsLogged</t>
  </si>
  <si>
    <t>AT-ERP-048</t>
  </si>
  <si>
    <t>건별 형식 오류</t>
  </si>
  <si>
    <t>건별 형식 오류 → INVALID(반영·기록 없음), 나머지 정상 건은 반영</t>
  </si>
  <si>
    <t>INVALID(반영·기록 없음), 나머지 정상 건은 반영</t>
  </si>
  <si>
    <t>ErpMovementResourceTest.rejectInvalidItemsOnly</t>
  </si>
  <si>
    <t>AT-ERP-049</t>
  </si>
  <si>
    <t>요청 전체 오류</t>
  </si>
  <si>
    <t>요청 전체 오류 → 400 (본문 없음·JSON 아님·movements 없음·빈 배열·201건)</t>
  </si>
  <si>
    <t>400 (본문 없음·JSON 아님·movements 없음·빈 배열·201건)</t>
  </si>
  <si>
    <t>ErpMovementResourceTest.rejectBadRequests</t>
  </si>
  <si>
    <t>AT-ERP-050</t>
  </si>
  <si>
    <t>200건(상한) 한 번에</t>
  </si>
  <si>
    <t>200건(상한) 한 번에 → 모두 반영, 같은 재고에 순서대로 누적</t>
  </si>
  <si>
    <t>모두 반영, 같은 재고에 순서대로 누적</t>
  </si>
  <si>
    <t>ErpMovementResourceTest.bulk200Movements</t>
  </si>
  <si>
    <t>AT-ERP-051</t>
  </si>
  <si>
    <t>푸시로 먼저 받은 변동을 매시 가져오기가 다시 만나도 건너뜀</t>
  </si>
  <si>
    <t>푸시로 먼저 받은 변동을 매시 가져오기가 다시 만나도 건너뜀 → 한 번만 반영, 가져오기 기준 번호는 앞으로</t>
  </si>
  <si>
    <t>한 번만 반영, 가져오기 기준 번호는 앞으로</t>
  </si>
  <si>
    <t>ErpMovementResourceTest.normalPullAfterPushSkipsDuplicate</t>
  </si>
  <si>
    <t>ERP 연동(IF-02·03·06) &gt; ProductTransferTriggerHandler</t>
  </si>
  <si>
    <t>AT-ERP-052</t>
  </si>
  <si>
    <t>수령</t>
  </si>
  <si>
    <t>수령 → ERP 이동 완료, 출발·도착 남은 수량 기록, Salesforce 표준 수량과 같으면 불일치 아님, 요청 항목 확인</t>
  </si>
  <si>
    <t>ERP 이동 완료, 출발·도착 남은 수량 기록, Salesforce 표준 수량과 같으면 불일치 아님, 요청 항목 확인</t>
  </si>
  <si>
    <t>ProductTransferTriggerHandlerTest.normalReceiveSyncsToErp</t>
  </si>
  <si>
    <t>AT-ERP-053</t>
  </si>
  <si>
    <t>처음부터 수령 상태로 만든 이동 건도 전송, ERP 수량이 다르면 불일치 표시(수량은 고치지 않음)</t>
  </si>
  <si>
    <t>ProductTransferTriggerHandlerTest.normalInsertReceivedFlagsMismatch</t>
  </si>
  <si>
    <t>AT-ERP-054</t>
  </si>
  <si>
    <t>아직 수령하지 않은 이동 건은 보내지 않음 (상태 없음, 콜아웃 없음)</t>
  </si>
  <si>
    <t>ProductTransferTriggerHandlerTest.rejectNotReceivedNotSent</t>
  </si>
  <si>
    <t>AT-ERP-055</t>
  </si>
  <si>
    <t>ERP 출발 재고 부족</t>
  </si>
  <si>
    <t>ERP 출발 재고 부족 → 확인 필요, 코드가 메시지에</t>
  </si>
  <si>
    <t>확인 필요, 코드가 메시지에</t>
  </si>
  <si>
    <t>ProductTransferTriggerHandlerTest.rejectInsufficientStockNeedsReview</t>
  </si>
  <si>
    <t>AT-ERP-056</t>
  </si>
  <si>
    <t>ERP 장애(503) → 실패, 재전송에서도 실패해 상한 도달 → 확인 필요 [RETRY_EXHAUSTED]</t>
  </si>
  <si>
    <t>실패, 재전송에서도 실패해 상한 도달 → 확인 필요 [RETRY_EXHAUSTED]</t>
  </si>
  <si>
    <t>ProductTransferTriggerHandlerTest.rejectServerErrorRetriesThenNeedsReview</t>
  </si>
  <si>
    <t>AT-ERP-057</t>
  </si>
  <si>
    <t>도착 위치에 ERP 코드가 없으면 보내지 않고 확인 필요 [MISSING_CODE]</t>
  </si>
  <si>
    <t>ProductTransferTriggerHandlerTest.rejectMissingErpCodeWithoutCallout</t>
  </si>
  <si>
    <t>AT-ERP-058</t>
  </si>
  <si>
    <t>이동 200건을 한 번에 수령</t>
  </si>
  <si>
    <t>이동 200건을 한 번에 수령 → Queueable 1개, 콜아웃 1번, 전부 완료</t>
  </si>
  <si>
    <t>ProductTransferTriggerHandlerTest.bulk200TransfersOneCallout</t>
  </si>
  <si>
    <t>AT-ERP-059</t>
  </si>
  <si>
    <t>협력 기사가 읽기 전용으로 공유된 창고 재고에서 자기 차량으로 이동 건을 만들고 수령</t>
  </si>
  <si>
    <t>협력 기사가 읽기 전용으로 공유된 창고 재고에서 자기 차량으로 이동 건을 만들고 수령 → 표준 이동 + ERP 전송 (기사 권한)</t>
  </si>
  <si>
    <t>표준 이동 + ERP 전송 (기사 권한)</t>
  </si>
  <si>
    <t>ProductTransferTriggerHandlerTest.normalTechnicianReceivesFromWarehouse</t>
  </si>
  <si>
    <t>AT-ERP-060</t>
  </si>
  <si>
    <t>단위를 비워 두면 저장 전 Flow가 출발 재고의 단위를 복사 (ProductTransfer_BeforeSa</t>
  </si>
  <si>
    <t>단위를 비워 두면 저장 전 Flow가 출발 재고의 단위를 복사 (ProductTransfer_BeforeSave_FillUnit)</t>
  </si>
  <si>
    <t>ProductTransferTriggerHandlerTest.normalUnitCopiedFromSourceItem</t>
  </si>
  <si>
    <t>기사 배정 · 누적 청구액 · 접수 집계 · 재고 &gt; DispatchService</t>
  </si>
  <si>
    <t>AT-DSP-001</t>
  </si>
  <si>
    <t>[기사 배정] 화면을 열면 접수 요약과 우리 센터 기사만 보임</t>
  </si>
  <si>
    <t>[기사 배정] 화면을 열면 접수 요약과 우리 센터 기사만 보임 → 접수 번호·장비·사업장 표시, 기존 출동 0건, 다른 센터 기사는 목록에 없음</t>
  </si>
  <si>
    <t>접수 번호·장비·사업장 표시, 기존 출동 0건, 다른 센터 기사는 목록에 없음</t>
  </si>
  <si>
    <t>DispatchServiceTest.normalLoadShowsSummaryAndOwnCenterTechnicians</t>
  </si>
  <si>
    <t>AT-DSP-002</t>
  </si>
  <si>
    <t>기사·목적·일시를 골라 배정하면 출동 생성·접수 처리 중</t>
  </si>
  <si>
    <t>기사·목적·일시를 골라 배정하면 출동 생성·접수 처리 중 → 출동에 장비·고객사·사업장·서비스센터·제목 복사, 소유자 기사, 상태 배정, 회차 1, 출장비 기준값</t>
  </si>
  <si>
    <t>출동에 장비·고객사·사업장·서비스센터·제목 복사, 소유자 기사, 상태 배정, 회차 1, 출장비 기준값</t>
  </si>
  <si>
    <t>DispatchServiceTest.normalDispatchCreatesWorkOrderAndMovesCase</t>
  </si>
  <si>
    <t>AT-DSP-003</t>
  </si>
  <si>
    <t>같은 접수에 다시 배정하면 새 출동(회차 2)</t>
  </si>
  <si>
    <t>같은 접수에 다시 배정하면 새 출동(회차 2) → 화면에 기존 출동 수 2 안내, 접수는 처리 중 유지</t>
  </si>
  <si>
    <t>화면에 기존 출동 수 2 안내, 접수는 처리 중 유지</t>
  </si>
  <si>
    <t>DispatchServiceTest.normalRedispatchSameCaseCreatesNextVisit</t>
  </si>
  <si>
    <t>AT-DSP-004</t>
  </si>
  <si>
    <t>종결·취소 접수는 배정 불가</t>
  </si>
  <si>
    <t>종결·취소 접수는 배정 불가 → 화면 열기·배정 모두 안내 문구만, 기사 목록 없음, 출동 0건</t>
  </si>
  <si>
    <t>화면 열기·배정 모두 안내 문구만, 기사 목록 없음, 출동 0건</t>
  </si>
  <si>
    <t>DispatchServiceTest.rejectClosedOrCanceledCaseGuidanceOnly</t>
  </si>
  <si>
    <t>AT-DSP-005</t>
  </si>
  <si>
    <t>다른 센터 기사로 배정</t>
  </si>
  <si>
    <t>다른 센터 기사로 배정 → "배정할 수 없는 기사" 안내, 출동 0건, 접수 상태 그대로</t>
  </si>
  <si>
    <t>"배정할 수 없는 기사" 안내, 출동 0건, 접수 상태 그대로</t>
  </si>
  <si>
    <t>DispatchServiceTest.rejectOtherCenterTechnician</t>
  </si>
  <si>
    <t>AT-DSP-006</t>
  </si>
  <si>
    <t>기사를 고르지 않고 배정</t>
  </si>
  <si>
    <t>기사를 고르지 않고 배정 → "기사를 선택하세요" 안내</t>
  </si>
  <si>
    <t>"기사를 선택하세요" 안내</t>
  </si>
  <si>
    <t>DispatchServiceTest.rejectTechnicianRequired</t>
  </si>
  <si>
    <t>AT-DSP-007</t>
  </si>
  <si>
    <t>기사·상담원은 [기사 배정] 실행 불가(사용자 지정 권한 없음)</t>
  </si>
  <si>
    <t>기사·상담원은 [기사 배정] 실행 불가(사용자 지정 권한 없음) → 권한 없음 안내, 출동 0건</t>
  </si>
  <si>
    <t>권한 없음 안내, 출동 0건</t>
  </si>
  <si>
    <t>DispatchServiceTest.rejectTechnicianAndCallCenterCannotDispatch</t>
  </si>
  <si>
    <t>AT-DSP-008</t>
  </si>
  <si>
    <t>센터장이 출동을 직접 만들기(표준 새로 만들기)</t>
  </si>
  <si>
    <t>센터장이 출동을 직접 만들기(표준 새로 만들기) → 생성 권한 없음으로 거부, 출동은 [기사 배정]으로만</t>
  </si>
  <si>
    <t>생성 권한 없음으로 거부, 출동은 [기사 배정]으로만</t>
  </si>
  <si>
    <t>DispatchServiceTest.rejectCenterManagerCannotCreateWorkOrderDirectly</t>
  </si>
  <si>
    <t>AT-DSP-009</t>
  </si>
  <si>
    <t>배정 요청 200건을 한 번에 처리</t>
  </si>
  <si>
    <t>배정 요청 200건을 한 번에 처리 → 200건 모두 성공, 출동 200건 생성·접수 200건 처리 중</t>
  </si>
  <si>
    <t>200건 모두 성공, 출동 200건 생성·접수 200건 처리 중</t>
  </si>
  <si>
    <t>DispatchServiceTest.bulk200DispatchRequests</t>
  </si>
  <si>
    <t>기사 배정 · 누적 청구액 · 접수 집계 · 재고 &gt; WorkOrderChargeService</t>
  </si>
  <si>
    <t>AT-DSP-010</t>
  </si>
  <si>
    <t>배정 상태는 합계에서 빠지고, 도착으로 바뀌면(상태 전환) 방문비가 합계에 들어감</t>
  </si>
  <si>
    <t>WorkOrderChargeServiceTest.normalArrivedCountedAssignedNot</t>
  </si>
  <si>
    <t>AT-DSP-011</t>
  </si>
  <si>
    <t>승인 대기·완료는 포함, 수락·거절은 제외</t>
  </si>
  <si>
    <t>WorkOrderChargeServiceTest.normalVisitedStatusesOnly</t>
  </si>
  <si>
    <t>AT-DSP-012</t>
  </si>
  <si>
    <t>거절된 출동은 방문비가 있어도 합계에 넣지 않음</t>
  </si>
  <si>
    <t>WorkOrderChargeServiceTest.rejectDeclinedExcluded</t>
  </si>
  <si>
    <t>AT-DSP-013</t>
  </si>
  <si>
    <t>사용 부품 추가·삭제</t>
  </si>
  <si>
    <t>사용 부품 추가·삭제 → 유상 부품비 Roll-Up 변경 → 출동 트리거가 불려 장비 합계도 따라감</t>
  </si>
  <si>
    <t>유상 부품비 Roll-Up 변경 → 출동 트리거가 불려 장비 합계도 따라감</t>
  </si>
  <si>
    <t>WorkOrderChargeServiceTest.normalPaidPartRollupFollows</t>
  </si>
  <si>
    <t>AT-DSP-014</t>
  </si>
  <si>
    <t>출동의 장비를 바꾸면 이전 장비와 새 장비 둘 다 다시 계산</t>
  </si>
  <si>
    <t>WorkOrderChargeServiceTest.normalAssetChangeRecalculatesBoth</t>
  </si>
  <si>
    <t>AT-DSP-015</t>
  </si>
  <si>
    <t>방문한 출동 삭제</t>
  </si>
  <si>
    <t>방문한 출동 삭제 → 0, 휴지통 복원 → 다시 합계</t>
  </si>
  <si>
    <t>0, 휴지통 복원 → 다시 합계</t>
  </si>
  <si>
    <t>WorkOrderChargeServiceTest.normalDeleteAndUndelete</t>
  </si>
  <si>
    <t>AT-DSP-016</t>
  </si>
  <si>
    <t>장비 없이 접수만으로 출동을 만들면 저장 전 Flow가 접수의 장비를 채움</t>
  </si>
  <si>
    <t>WorkOrderChargeServiceTest.normalFlowFillsAssetFromCase</t>
  </si>
  <si>
    <t>AT-DSP-017</t>
  </si>
  <si>
    <t>고객사·사업장 누적 청구액 = 그 아래 장비들의 방문 출동 합계 (장비 2대 · 출동 2건)</t>
  </si>
  <si>
    <t>WorkOrderChargeServiceTest.normalAccountAndSiteTotalsFollow</t>
  </si>
  <si>
    <t>AT-DSP-018</t>
  </si>
  <si>
    <t>출동의 사업장을 바꾸면 이전 사업장과 새 사업장 둘 다 다시 계산</t>
  </si>
  <si>
    <t>WorkOrderChargeServiceTest.normalSiteChangeRecalculatesBoth</t>
  </si>
  <si>
    <t>AT-DSP-019</t>
  </si>
  <si>
    <t>트리거 스위치를 끄면 다시 계산하지 않음 (데이터 이관 때)</t>
  </si>
  <si>
    <t>WorkOrderChargeServiceTest.rejectSwitchOffSkipsRecalculation</t>
  </si>
  <si>
    <t>AT-DSP-020</t>
  </si>
  <si>
    <t>묶는 필드가 조회 필드가 아니면 거부 (고객사·사업장 확장용 메서드의 입력 검사)</t>
  </si>
  <si>
    <t>WorkOrderChargeServiceTest.rejectNonReferenceGroupField</t>
  </si>
  <si>
    <t>AT-DSP-021</t>
  </si>
  <si>
    <t>상담원은 누적 청구액을 읽을 수 있고, 기사는 장비 권한이 없어 읽지 못함 (USER_MODE)</t>
  </si>
  <si>
    <t>WorkOrderChargeServiceTest.normalCallCenterReadsTechnicianCannot</t>
  </si>
  <si>
    <t>AT-DSP-022</t>
  </si>
  <si>
    <t>방문한 출동 200건을 한 번에 저장</t>
  </si>
  <si>
    <t>방문한 출동 200건을 한 번에 저장 → 합계 정확, 조회 몇 번</t>
  </si>
  <si>
    <t>합계 정확, 조회 몇 번</t>
  </si>
  <si>
    <t>WorkOrderChargeServiceTest.bulk200VisitedWorkOrders</t>
  </si>
  <si>
    <t>기사 배정 · 누적 청구액 · 접수 집계 · 재고 &gt; CaseWorkOrderStatsService</t>
  </si>
  <si>
    <t>AT-DSP-023</t>
  </si>
  <si>
    <t>출동이 생기면 열린 1, 마지막 출동이 완료되면 접수 자동 완료(열린 0·완료 1)</t>
  </si>
  <si>
    <t>CaseWorkOrderStatsServiceTest.normalAutoCompleteWhenLastWorkOrderCompleted</t>
  </si>
  <si>
    <t>AT-DSP-024</t>
  </si>
  <si>
    <t>완료 접수에 출동이 다시 생기면 처리 중(재방문·재배정)</t>
  </si>
  <si>
    <t>CaseWorkOrderStatsServiceTest.normalReopenWhenNewWorkOrder</t>
  </si>
  <si>
    <t>AT-DSP-025</t>
  </si>
  <si>
    <t>접수 상태(접수 = New)는 자동으로 바꾸지 않음 — 처리 중일 때만</t>
  </si>
  <si>
    <t>CaseWorkOrderStatsServiceTest.rejectNewCaseNotAutoCompleted</t>
  </si>
  <si>
    <t>AT-DSP-026</t>
  </si>
  <si>
    <t>열린 출동이 있으면 사용자(상담원)가 완료·종결로 바꿀 수 없음</t>
  </si>
  <si>
    <t>CaseWorkOrderStatsServiceTest.rejectCloseWithOpenWorkOrder</t>
  </si>
  <si>
    <t>AT-DSP-027</t>
  </si>
  <si>
    <t>접수 200건의 출동을 한 번에 완료</t>
  </si>
  <si>
    <t>접수 200건의 출동을 한 번에 완료 → 200건 모두 자동 완료, 조회 몇 번</t>
  </si>
  <si>
    <t>200건 모두 자동 완료, 조회 몇 번</t>
  </si>
  <si>
    <t>CaseWorkOrderStatsServiceTest.bulk200AutoComplete</t>
  </si>
  <si>
    <t>기사 배정 · 누적 청구액 · 접수 집계 · 재고 &gt; ProductItemLocationFlow</t>
  </si>
  <si>
    <t>AT-DSP-028</t>
  </si>
  <si>
    <t>창고 재고는 센터·창고 여부가 채워지고, 차량 재고는 창고 재고 아님</t>
  </si>
  <si>
    <t>ProductItemLocationFlowTest.normalCenterAndWarehouseCopied</t>
  </si>
  <si>
    <t>AT-DSP-029</t>
  </si>
  <si>
    <t>다른 센터로 고쳐 저장하면 위치의 센터로 다시 채움</t>
  </si>
  <si>
    <t>ProductItemLocationFlowTest.rejectManualCenterOverwritten</t>
  </si>
  <si>
    <t>공통(트리거 프레임워크) &gt; TriggerHandler</t>
  </si>
  <si>
    <t>AT-COM-001</t>
  </si>
  <si>
    <t>재정의하지 않은 이벤트는 아무것도 하지 않음(예외·DML 없음), 핸들러 이름은 클래스 이름</t>
  </si>
  <si>
    <t>TriggerHandlerTest.normalDefaultEventsDoNothing</t>
  </si>
  <si>
    <t>AT-COM-002</t>
  </si>
  <si>
    <t>트리거 밖(예: 익명 Apex·테스트)에서 run()을 부르면 바로 끝남</t>
  </si>
  <si>
    <t>TriggerHandlerTest.rejectRunOutsideTrigger</t>
  </si>
  <si>
    <t>AT-COM-003</t>
  </si>
  <si>
    <t>스위치 — 테스트 대체값이 우선, 레코드가 없는 오브젝트는 활성</t>
  </si>
  <si>
    <t>TriggerHandlerTest.normalSwitchOverrideAndDefault</t>
  </si>
  <si>
    <t>AT-COM-004</t>
  </si>
  <si>
    <t>사용자 지정 오브젝트는 __c를 뗀 이름의 레코드로 찾음 (CustomerSite__c</t>
  </si>
  <si>
    <t>사용자 지정 오브젝트는 __c를 뗀 이름의 레코드로 찾음 (CustomerSite__c → CustomerSite)</t>
  </si>
  <si>
    <t>CustomerSite)</t>
  </si>
  <si>
    <t>TriggerHandlerTest.normalCustomObjectSettingWithoutSuffix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</si>
</sst>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"/>
    </font>
    <font>
      <sz val="8"/>
      <name val="돋움체"/>
      <family val="3"/>
      <charset val="129"/>
    </font>
    <font>
      <sz val="11"/>
      <color theme="1"/>
      <name val="Noto Sans KR"/>
      <family val="2"/>
      <charset val="129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charset val="1"/>
    </font>
    <font>
      <sz val="9"/>
      <color rgb="FF000000"/>
      <name val="맑은 고딕"/>
      <family val="2"/>
    </font>
    <font>
      <u/>
      <sz val="10"/>
      <color theme="10"/>
      <name val="맑은 고딕"/>
      <family val="2"/>
    </font>
    <font>
      <b/>
      <sz val="14"/>
      <color rgb="FFFFFFFF"/>
      <name val="맑은 고딕"/>
      <family val="2"/>
    </font>
    <font>
      <sz val="11"/>
      <color theme="1"/>
      <name val="맑은 고딕"/>
      <family val="2"/>
    </font>
    <font>
      <b/>
      <sz val="9"/>
      <color rgb="FFFFFFFF"/>
      <name val="맑은 고딕"/>
      <family val="2"/>
    </font>
    <font>
      <b/>
      <sz val="10"/>
      <color rgb="FFFFFFFF"/>
      <name val="맑은 고딕"/>
      <family val="2"/>
    </font>
    <font>
      <sz val="10"/>
      <color rgb="FF000000"/>
      <name val="맑은 고딕"/>
      <family val="2"/>
    </font>
    <font>
      <sz val="8"/>
      <name val="돋움"/>
      <family val="3"/>
      <charset val="129"/>
    </font>
    <font>
      <sz val="10"/>
      <color theme="1"/>
      <name val="Calibri"/>
      <family val="2"/>
      <charset val="1"/>
    </font>
    <font>
      <sz val="10"/>
      <color theme="1"/>
      <name val="맑은 고딕"/>
      <family val="2"/>
    </font>
    <font>
      <b/>
      <u/>
      <sz val="10"/>
      <color theme="1"/>
      <name val="맑은 고딕"/>
      <family val="2"/>
    </font>
    <font>
      <b/>
      <sz val="10"/>
      <color theme="1"/>
      <name val="맑은 고딕"/>
      <family val="2"/>
    </font>
    <font>
      <b/>
      <sz val="16"/>
      <color rgb="FFFFFFFF"/>
      <name val="맑은 고딕"/>
      <family val="2"/>
    </font>
    <font>
      <sz val="16"/>
      <color theme="1"/>
      <name val="Calibri"/>
      <family val="2"/>
      <charset val="1"/>
    </font>
    <font>
      <sz val="10"/>
      <color rgb="FF000000"/>
      <name val="맑은 고딕"/>
      <family val="2"/>
      <charset val="129"/>
    </font>
    <font>
      <b/>
      <sz val="16"/>
      <color theme="1"/>
      <name val="Calibri"/>
      <family val="2"/>
    </font>
    <font>
      <b/>
      <sz val="16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BDD7EE"/>
        <bgColor rgb="FFB8CCE4"/>
      </patternFill>
    </fill>
    <fill>
      <patternFill patternType="solid">
        <fgColor rgb="FFFFFFFF"/>
        <bgColor rgb="FFFFF9F0"/>
      </patternFill>
    </fill>
    <fill>
      <patternFill patternType="solid">
        <fgColor rgb="FFFFF9F0"/>
        <bgColor rgb="FFFFFFFF"/>
      </patternFill>
    </fill>
    <fill>
      <patternFill patternType="solid">
        <fgColor rgb="FFDEEAF1"/>
        <bgColor rgb="FFE2EFD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366FF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0"/>
        <bgColor rgb="FFE2EFDA"/>
      </patternFill>
    </fill>
    <fill>
      <patternFill patternType="solid">
        <fgColor rgb="FFD9D9D9"/>
        <bgColor indexed="64"/>
      </patternFill>
    </fill>
  </fills>
  <borders count="11">
    <border>
      <left/>
      <right/>
      <top/>
      <bottom/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 style="thin">
        <color rgb="FFB8CCE4"/>
      </right>
      <top/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8CCE4"/>
      </left>
      <right/>
      <top/>
      <bottom style="thin">
        <color rgb="FFB8CCE4"/>
      </bottom>
      <diagonal/>
    </border>
    <border>
      <left/>
      <right/>
      <top/>
      <bottom style="thin">
        <color rgb="FFB8CCE4"/>
      </bottom>
      <diagonal/>
    </border>
  </borders>
  <cellStyleXfs count="3">
    <xf numFmtId="0" fontId="0" fillId="0" borderId="0"/>
    <xf numFmtId="0" fontId="3" fillId="0" borderId="0"/>
    <xf numFmtId="9" fontId="4" fillId="0" borderId="0">
      <alignment vertical="center"/>
    </xf>
  </cellStyleXfs>
  <cellXfs count="74">
    <xf numFmtId="0" fontId="0" fillId="0" borderId="0" xfId="0"/>
    <xf numFmtId="0" fontId="0" fillId="8" borderId="0" xfId="0" applyFill="1"/>
    <xf numFmtId="0" fontId="5" fillId="5" borderId="2" xfId="0" applyFont="1" applyFill="1" applyBorder="1" applyAlignment="1">
      <alignment horizontal="left" vertical="center" wrapText="1"/>
    </xf>
    <xf numFmtId="0" fontId="6" fillId="6" borderId="2" xfId="1" applyFont="1" applyFill="1" applyBorder="1" applyAlignment="1">
      <alignment horizontal="left" vertical="center" wrapText="1"/>
    </xf>
    <xf numFmtId="0" fontId="8" fillId="0" borderId="0" xfId="0" applyFont="1"/>
    <xf numFmtId="0" fontId="9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0" fillId="8" borderId="8" xfId="0" applyFill="1" applyBorder="1"/>
    <xf numFmtId="0" fontId="2" fillId="8" borderId="8" xfId="0" applyFont="1" applyFill="1" applyBorder="1"/>
    <xf numFmtId="0" fontId="8" fillId="0" borderId="0" xfId="0" applyFont="1" applyAlignment="1">
      <alignment wrapText="1"/>
    </xf>
    <xf numFmtId="0" fontId="14" fillId="8" borderId="0" xfId="0" applyFont="1" applyFill="1"/>
    <xf numFmtId="0" fontId="6" fillId="8" borderId="0" xfId="1" applyFont="1" applyFill="1"/>
    <xf numFmtId="0" fontId="11" fillId="7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9" fontId="11" fillId="7" borderId="2" xfId="0" applyNumberFormat="1" applyFont="1" applyFill="1" applyBorder="1" applyAlignment="1">
      <alignment horizontal="center" vertical="center" wrapText="1"/>
    </xf>
    <xf numFmtId="9" fontId="11" fillId="11" borderId="2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/>
    </xf>
    <xf numFmtId="0" fontId="11" fillId="7" borderId="2" xfId="0" applyFont="1" applyFill="1" applyBorder="1" applyAlignment="1">
      <alignment horizontal="left" vertical="center" wrapText="1"/>
    </xf>
    <xf numFmtId="49" fontId="5" fillId="4" borderId="2" xfId="0" applyNumberFormat="1" applyFont="1" applyFill="1" applyBorder="1" applyAlignment="1">
      <alignment horizontal="left" vertical="center" wrapText="1"/>
    </xf>
    <xf numFmtId="49" fontId="5" fillId="5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left" vertical="center" wrapText="1"/>
    </xf>
    <xf numFmtId="49" fontId="5" fillId="4" borderId="1" xfId="0" applyNumberFormat="1" applyFont="1" applyFill="1" applyBorder="1" applyAlignment="1">
      <alignment vertical="center" wrapText="1"/>
    </xf>
    <xf numFmtId="49" fontId="8" fillId="0" borderId="0" xfId="0" applyNumberFormat="1" applyFont="1"/>
    <xf numFmtId="49" fontId="11" fillId="7" borderId="2" xfId="0" applyNumberFormat="1" applyFont="1" applyFill="1" applyBorder="1" applyAlignment="1">
      <alignment horizontal="left" vertical="center" wrapText="1"/>
    </xf>
    <xf numFmtId="49" fontId="11" fillId="5" borderId="2" xfId="0" applyNumberFormat="1" applyFont="1" applyFill="1" applyBorder="1" applyAlignment="1">
      <alignment horizontal="left" vertical="center" wrapText="1"/>
    </xf>
    <xf numFmtId="49" fontId="19" fillId="5" borderId="2" xfId="0" applyNumberFormat="1" applyFont="1" applyFill="1" applyBorder="1" applyAlignment="1">
      <alignment horizontal="left" vertical="center" wrapText="1"/>
    </xf>
    <xf numFmtId="49" fontId="11" fillId="4" borderId="2" xfId="0" applyNumberFormat="1" applyFont="1" applyFill="1" applyBorder="1" applyAlignment="1">
      <alignment horizontal="left" vertical="center" wrapText="1"/>
    </xf>
    <xf numFmtId="49" fontId="11" fillId="4" borderId="1" xfId="0" applyNumberFormat="1" applyFont="1" applyFill="1" applyBorder="1" applyAlignment="1">
      <alignment vertical="center" wrapText="1"/>
    </xf>
    <xf numFmtId="49" fontId="11" fillId="6" borderId="2" xfId="0" applyNumberFormat="1" applyFont="1" applyFill="1" applyBorder="1" applyAlignment="1">
      <alignment horizontal="left" vertical="center" wrapText="1"/>
    </xf>
    <xf numFmtId="49" fontId="6" fillId="6" borderId="2" xfId="1" applyNumberFormat="1" applyFont="1" applyFill="1" applyBorder="1" applyAlignment="1">
      <alignment horizontal="left" vertical="center" wrapText="1"/>
    </xf>
    <xf numFmtId="49" fontId="11" fillId="10" borderId="2" xfId="0" applyNumberFormat="1" applyFont="1" applyFill="1" applyBorder="1" applyAlignment="1">
      <alignment horizontal="left" vertical="center" wrapText="1"/>
    </xf>
    <xf numFmtId="49" fontId="13" fillId="0" borderId="7" xfId="0" applyNumberFormat="1" applyFont="1" applyBorder="1" applyAlignment="1">
      <alignment vertical="center"/>
    </xf>
    <xf numFmtId="49" fontId="13" fillId="0" borderId="5" xfId="0" applyNumberFormat="1" applyFont="1" applyBorder="1" applyAlignment="1">
      <alignment vertical="center"/>
    </xf>
    <xf numFmtId="49" fontId="11" fillId="6" borderId="4" xfId="0" applyNumberFormat="1" applyFont="1" applyFill="1" applyBorder="1" applyAlignment="1">
      <alignment horizontal="left" vertical="center" wrapText="1"/>
    </xf>
    <xf numFmtId="49" fontId="11" fillId="10" borderId="4" xfId="0" applyNumberFormat="1" applyFont="1" applyFill="1" applyBorder="1" applyAlignment="1">
      <alignment horizontal="left" vertical="center" wrapText="1"/>
    </xf>
    <xf numFmtId="49" fontId="11" fillId="6" borderId="1" xfId="0" applyNumberFormat="1" applyFont="1" applyFill="1" applyBorder="1" applyAlignment="1">
      <alignment horizontal="left" vertical="center" wrapText="1"/>
    </xf>
    <xf numFmtId="49" fontId="11" fillId="10" borderId="7" xfId="0" applyNumberFormat="1" applyFont="1" applyFill="1" applyBorder="1" applyAlignment="1">
      <alignment horizontal="left" vertical="center" wrapText="1"/>
    </xf>
    <xf numFmtId="9" fontId="11" fillId="6" borderId="2" xfId="2" applyFont="1" applyFill="1" applyBorder="1" applyAlignment="1">
      <alignment horizontal="left" vertical="center" wrapText="1"/>
    </xf>
    <xf numFmtId="9" fontId="11" fillId="10" borderId="2" xfId="2" applyFont="1" applyFill="1" applyBorder="1" applyAlignment="1">
      <alignment horizontal="left" vertical="center" wrapText="1"/>
    </xf>
    <xf numFmtId="9" fontId="11" fillId="10" borderId="4" xfId="2" applyFont="1" applyFill="1" applyBorder="1" applyAlignment="1">
      <alignment horizontal="left" vertical="center" wrapText="1"/>
    </xf>
    <xf numFmtId="9" fontId="11" fillId="10" borderId="7" xfId="2" applyFont="1" applyFill="1" applyBorder="1" applyAlignment="1">
      <alignment horizontal="left" vertical="center" wrapText="1"/>
    </xf>
    <xf numFmtId="49" fontId="16" fillId="8" borderId="0" xfId="0" applyNumberFormat="1" applyFont="1" applyFill="1"/>
    <xf numFmtId="49" fontId="15" fillId="8" borderId="0" xfId="0" applyNumberFormat="1" applyFont="1" applyFill="1"/>
    <xf numFmtId="49" fontId="6" fillId="8" borderId="0" xfId="1" applyNumberFormat="1" applyFont="1" applyFill="1"/>
    <xf numFmtId="49" fontId="14" fillId="8" borderId="0" xfId="0" applyNumberFormat="1" applyFont="1" applyFill="1"/>
    <xf numFmtId="49" fontId="10" fillId="3" borderId="2" xfId="0" applyNumberFormat="1" applyFont="1" applyFill="1" applyBorder="1" applyAlignment="1">
      <alignment horizontal="center" vertical="center" wrapText="1"/>
    </xf>
    <xf numFmtId="49" fontId="14" fillId="0" borderId="0" xfId="0" applyNumberFormat="1" applyFont="1"/>
    <xf numFmtId="49" fontId="0" fillId="0" borderId="0" xfId="0" applyNumberFormat="1"/>
    <xf numFmtId="49" fontId="21" fillId="0" borderId="0" xfId="0" applyNumberFormat="1" applyFont="1"/>
    <xf numFmtId="49" fontId="23" fillId="0" borderId="0" xfId="0" applyNumberFormat="1" applyFont="1"/>
    <xf numFmtId="49" fontId="23" fillId="12" borderId="8" xfId="0" applyNumberFormat="1" applyFont="1" applyFill="1" applyBorder="1"/>
    <xf numFmtId="49" fontId="0" fillId="0" borderId="8" xfId="0" applyNumberFormat="1" applyBorder="1"/>
    <xf numFmtId="0" fontId="0" fillId="0" borderId="8" xfId="0" applyBorder="1"/>
    <xf numFmtId="9" fontId="0" fillId="0" borderId="8" xfId="0" applyNumberFormat="1" applyBorder="1"/>
    <xf numFmtId="49" fontId="22" fillId="12" borderId="8" xfId="0" applyNumberFormat="1" applyFont="1" applyFill="1" applyBorder="1"/>
    <xf numFmtId="0" fontId="0" fillId="0" borderId="8" xfId="0" applyBorder="1" applyAlignment="1">
      <alignment wrapText="1"/>
    </xf>
    <xf numFmtId="49" fontId="0" fillId="0" borderId="8" xfId="0" applyNumberFormat="1" applyBorder="1" applyAlignment="1">
      <alignment wrapText="1"/>
    </xf>
    <xf numFmtId="0" fontId="17" fillId="2" borderId="9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</cellXfs>
  <cellStyles count="3">
    <cellStyle name="백분율" xfId="2" builtinId="5"/>
    <cellStyle name="표준" xfId="0" builtinId="0"/>
    <cellStyle name="하이퍼링크" xfId="1" builtinId="8"/>
  </cellStyles>
  <dxfs count="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8CCE4"/>
      <rgbColor rgb="FF808080"/>
      <rgbColor rgb="FF9999FF"/>
      <rgbColor rgb="FF993366"/>
      <rgbColor rgb="FFFFF2CC"/>
      <rgbColor rgb="FFDEEAF1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9F0"/>
      <rgbColor rgb="FF99CCFF"/>
      <rgbColor rgb="FFFF99CC"/>
      <rgbColor rgb="FFCC99FF"/>
      <rgbColor rgb="FFFCE4D6"/>
      <rgbColor rgb="FF3366FF"/>
      <rgbColor rgb="FF33CCCC"/>
      <rgbColor rgb="FF99CC00"/>
      <rgbColor rgb="FFFFC0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3</xdr:row>
      <xdr:rowOff>114300</xdr:rowOff>
    </xdr:from>
    <xdr:to>
      <xdr:col>4</xdr:col>
      <xdr:colOff>1555750</xdr:colOff>
      <xdr:row>10</xdr:row>
      <xdr:rowOff>50800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BDC8FB3-FBBA-83A1-5510-55B3F66160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762000"/>
          <a:ext cx="7620000" cy="127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2"/>
  <sheetViews>
    <sheetView tabSelected="1" topLeftCell="A7" zoomScale="85" zoomScaleNormal="85" workbookViewId="0">
      <selection activeCell="L17" sqref="L17"/>
    </sheetView>
  </sheetViews>
  <sheetFormatPr defaultColWidth="42.7109375" defaultRowHeight="22.5" customHeight="1" x14ac:dyDescent="0.25"/>
  <cols>
    <col min="1" max="1" width="3.28515625" style="15" customWidth="1"/>
    <col min="2" max="2" width="15" style="15" customWidth="1"/>
    <col min="3" max="3" width="31.28515625" style="15" customWidth="1"/>
    <col min="4" max="4" width="34.7109375" style="15" customWidth="1"/>
    <col min="5" max="5" width="26.28515625" style="15" customWidth="1"/>
    <col min="6" max="6" width="20.42578125" style="15" customWidth="1"/>
    <col min="7" max="7" width="24.42578125" style="15" customWidth="1"/>
    <col min="8" max="8" width="18.28515625" style="15" customWidth="1"/>
    <col min="9" max="9" width="3.5703125" style="15" customWidth="1"/>
    <col min="10" max="10" width="1.7109375" style="15" customWidth="1"/>
    <col min="11" max="11" width="13.140625" style="15" customWidth="1"/>
    <col min="12" max="12" width="27" style="15" customWidth="1"/>
    <col min="13" max="13" width="13.28515625" style="15" customWidth="1"/>
    <col min="14" max="16384" width="42.7109375" style="15"/>
  </cols>
  <sheetData>
    <row r="1" spans="2:13" ht="22.5" customHeight="1" x14ac:dyDescent="0.35">
      <c r="B1" s="70" t="s">
        <v>0</v>
      </c>
      <c r="C1" s="71"/>
      <c r="D1" s="71"/>
      <c r="E1" s="71"/>
      <c r="F1" s="71"/>
      <c r="G1" s="71"/>
      <c r="H1" s="71"/>
    </row>
    <row r="2" spans="2:13" ht="22.5" customHeight="1" x14ac:dyDescent="0.25">
      <c r="B2" s="6" t="s">
        <v>1</v>
      </c>
      <c r="C2" s="35" t="s">
        <v>55</v>
      </c>
      <c r="D2" s="9"/>
      <c r="E2" s="6" t="s">
        <v>2</v>
      </c>
      <c r="F2" s="36" t="s">
        <v>612</v>
      </c>
      <c r="G2" s="10"/>
      <c r="H2" s="10"/>
    </row>
    <row r="3" spans="2:13" ht="22.5" customHeight="1" x14ac:dyDescent="0.25"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K3" s="51" t="s">
        <v>653</v>
      </c>
    </row>
    <row r="4" spans="2:13" ht="22.5" customHeight="1" x14ac:dyDescent="0.25">
      <c r="B4" s="37" t="s">
        <v>10</v>
      </c>
      <c r="C4" s="33" t="s">
        <v>613</v>
      </c>
      <c r="D4" s="33" t="s">
        <v>614</v>
      </c>
      <c r="E4" s="38" t="s">
        <v>10</v>
      </c>
      <c r="F4" s="37" t="s">
        <v>59</v>
      </c>
      <c r="G4" s="37" t="s">
        <v>615</v>
      </c>
      <c r="H4" s="46">
        <f>COUNTIF(홈!$J$4:$J$200,"Pass")/COUNTA(홈!$D$4:$D$200)</f>
        <v>0.5</v>
      </c>
      <c r="K4" s="52" t="s">
        <v>654</v>
      </c>
      <c r="L4" s="53" t="s">
        <v>655</v>
      </c>
    </row>
    <row r="5" spans="2:13" ht="22.5" customHeight="1" x14ac:dyDescent="0.25">
      <c r="B5" s="37" t="s">
        <v>616</v>
      </c>
      <c r="C5" s="33" t="s">
        <v>617</v>
      </c>
      <c r="D5" s="33" t="s">
        <v>618</v>
      </c>
      <c r="E5" s="38" t="s">
        <v>619</v>
      </c>
      <c r="F5" s="37" t="s">
        <v>59</v>
      </c>
      <c r="G5" s="39" t="s">
        <v>620</v>
      </c>
      <c r="H5" s="47">
        <f>COUNTIF('가상 착신·접수'!$J$4:$J$200,"Pass")/COUNTA('가상 착신·접수'!$D$4:$D$200)</f>
        <v>0.7</v>
      </c>
      <c r="K5" s="16"/>
    </row>
    <row r="6" spans="2:13" ht="22.5" customHeight="1" x14ac:dyDescent="0.25">
      <c r="B6" s="40" t="s">
        <v>616</v>
      </c>
      <c r="C6" s="33" t="s">
        <v>168</v>
      </c>
      <c r="D6" s="33" t="s">
        <v>621</v>
      </c>
      <c r="E6" s="38" t="s">
        <v>168</v>
      </c>
      <c r="F6" s="37" t="s">
        <v>59</v>
      </c>
      <c r="G6" s="39" t="s">
        <v>622</v>
      </c>
      <c r="H6" s="47">
        <f>COUNTIF('장비 검색'!$J$4:$J$200,"Pass")/COUNTA('장비 검색'!$D$4:$D$200)</f>
        <v>0.2</v>
      </c>
      <c r="K6" s="51" t="s">
        <v>11</v>
      </c>
    </row>
    <row r="7" spans="2:13" ht="22.5" customHeight="1" x14ac:dyDescent="0.25">
      <c r="B7" s="40" t="s">
        <v>623</v>
      </c>
      <c r="C7" s="33" t="s">
        <v>624</v>
      </c>
      <c r="D7" s="33" t="s">
        <v>625</v>
      </c>
      <c r="E7" s="38" t="s">
        <v>624</v>
      </c>
      <c r="F7" s="37" t="s">
        <v>59</v>
      </c>
      <c r="G7" s="39" t="s">
        <v>626</v>
      </c>
      <c r="H7" s="47">
        <f>COUNTIF('고객사·사업장 등록'!$J$4:$J$200,"Pass")/COUNTA('고객사·사업장 등록'!$D$4:$D$200)</f>
        <v>0</v>
      </c>
      <c r="K7" s="54" t="s">
        <v>12</v>
      </c>
      <c r="L7" s="54" t="s">
        <v>13</v>
      </c>
      <c r="M7" s="54" t="s">
        <v>14</v>
      </c>
    </row>
    <row r="8" spans="2:13" ht="22.5" customHeight="1" x14ac:dyDescent="0.25">
      <c r="B8" s="40" t="s">
        <v>627</v>
      </c>
      <c r="C8" s="33" t="s">
        <v>585</v>
      </c>
      <c r="D8" s="33" t="s">
        <v>628</v>
      </c>
      <c r="E8" s="38" t="s">
        <v>585</v>
      </c>
      <c r="F8" s="37" t="s">
        <v>59</v>
      </c>
      <c r="G8" s="37" t="s">
        <v>629</v>
      </c>
      <c r="H8" s="46">
        <f>COUNTIF('기사 배정·재배정'!$J$4:$J$200,"Pass")/COUNTA('기사 배정·재배정'!$D$4:$D$200)</f>
        <v>0.5714285714285714</v>
      </c>
      <c r="K8" s="37" t="s">
        <v>656</v>
      </c>
      <c r="L8" s="55" t="s">
        <v>657</v>
      </c>
      <c r="M8" s="33" t="s">
        <v>658</v>
      </c>
    </row>
    <row r="9" spans="2:13" ht="22.5" customHeight="1" x14ac:dyDescent="0.25">
      <c r="B9" s="40" t="s">
        <v>396</v>
      </c>
      <c r="C9" s="33" t="s">
        <v>581</v>
      </c>
      <c r="D9" s="33" t="s">
        <v>630</v>
      </c>
      <c r="E9" s="38" t="s">
        <v>581</v>
      </c>
      <c r="F9" s="37" t="s">
        <v>59</v>
      </c>
      <c r="G9" s="39" t="s">
        <v>631</v>
      </c>
      <c r="H9" s="47">
        <f>COUNTIF('출동·사용 부품'!$J$4:$J$200,"Pass")/COUNTA('출동·사용 부품'!$D$4:$D$200)</f>
        <v>0.4</v>
      </c>
      <c r="K9" s="37" t="s">
        <v>659</v>
      </c>
      <c r="L9" s="55" t="s">
        <v>660</v>
      </c>
      <c r="M9" s="33" t="s">
        <v>658</v>
      </c>
    </row>
    <row r="10" spans="2:13" ht="22.5" customHeight="1" x14ac:dyDescent="0.25">
      <c r="B10" s="40" t="s">
        <v>632</v>
      </c>
      <c r="C10" s="33" t="s">
        <v>591</v>
      </c>
      <c r="D10" s="33" t="s">
        <v>633</v>
      </c>
      <c r="E10" s="38" t="s">
        <v>591</v>
      </c>
      <c r="F10" s="37" t="s">
        <v>59</v>
      </c>
      <c r="G10" s="39" t="s">
        <v>629</v>
      </c>
      <c r="H10" s="47">
        <f>COUNTIF('승인 요청·승인·반려'!$J$4:$J$200,"Pass")/COUNTA('승인 요청·승인·반려'!$D$4:$D$200)</f>
        <v>0.5714285714285714</v>
      </c>
      <c r="K10" s="37" t="s">
        <v>661</v>
      </c>
      <c r="L10" s="55" t="s">
        <v>662</v>
      </c>
      <c r="M10" s="33" t="s">
        <v>658</v>
      </c>
    </row>
    <row r="11" spans="2:13" ht="22.5" customHeight="1" x14ac:dyDescent="0.25">
      <c r="B11" s="41" t="s">
        <v>427</v>
      </c>
      <c r="C11" s="33" t="s">
        <v>403</v>
      </c>
      <c r="D11" s="33" t="s">
        <v>634</v>
      </c>
      <c r="E11" s="38" t="s">
        <v>403</v>
      </c>
      <c r="F11" s="37" t="s">
        <v>59</v>
      </c>
      <c r="G11" s="37" t="s">
        <v>635</v>
      </c>
      <c r="H11" s="46">
        <f>COUNTIF('재고 이동'!$J$4:$J$200,"Pass")/COUNTA('재고 이동'!$D$4:$D$200)</f>
        <v>0.4</v>
      </c>
      <c r="K11" s="37" t="s">
        <v>663</v>
      </c>
      <c r="L11" s="55" t="s">
        <v>664</v>
      </c>
      <c r="M11" s="33" t="s">
        <v>658</v>
      </c>
    </row>
    <row r="12" spans="2:13" ht="22.5" customHeight="1" x14ac:dyDescent="0.25">
      <c r="B12" s="42" t="s">
        <v>616</v>
      </c>
      <c r="C12" s="33" t="s">
        <v>636</v>
      </c>
      <c r="D12" s="33" t="s">
        <v>637</v>
      </c>
      <c r="E12" s="38" t="s">
        <v>636</v>
      </c>
      <c r="F12" s="37" t="s">
        <v>59</v>
      </c>
      <c r="G12" s="43" t="s">
        <v>638</v>
      </c>
      <c r="H12" s="48">
        <f>COUNTIF('접수 취소·종결'!$J$4:$J$200,"Pass")/COUNTA('접수 취소·종결'!$D$4:$D$200)</f>
        <v>0.33333333333333331</v>
      </c>
      <c r="K12" s="37" t="s">
        <v>665</v>
      </c>
      <c r="L12" s="11"/>
      <c r="M12" s="11"/>
    </row>
    <row r="13" spans="2:13" ht="22.5" customHeight="1" x14ac:dyDescent="0.25">
      <c r="B13" s="40" t="s">
        <v>639</v>
      </c>
      <c r="C13" s="33" t="s">
        <v>640</v>
      </c>
      <c r="D13" s="33" t="s">
        <v>641</v>
      </c>
      <c r="E13" s="38" t="s">
        <v>596</v>
      </c>
      <c r="F13" s="44" t="s">
        <v>59</v>
      </c>
      <c r="G13" s="43" t="s">
        <v>642</v>
      </c>
      <c r="H13" s="48">
        <f>COUNTIF('출동 이력'!$J$4:$J$200,"Pass")/COUNTA('출동 이력'!$D$4:$D$200)</f>
        <v>0.6</v>
      </c>
      <c r="K13" s="16"/>
    </row>
    <row r="14" spans="2:13" ht="22.5" customHeight="1" x14ac:dyDescent="0.25">
      <c r="B14" s="40" t="s">
        <v>643</v>
      </c>
      <c r="C14" s="33" t="s">
        <v>644</v>
      </c>
      <c r="D14" s="33" t="s">
        <v>645</v>
      </c>
      <c r="E14" s="38" t="s">
        <v>574</v>
      </c>
      <c r="F14" s="44" t="s">
        <v>59</v>
      </c>
      <c r="G14" s="45" t="s">
        <v>646</v>
      </c>
      <c r="H14" s="49">
        <f>COUNTIF('ERP 연동'!$J$4:$J$200,"Pass")/COUNTA('ERP 연동'!$D$4:$D$200)</f>
        <v>0.2857142857142857</v>
      </c>
    </row>
    <row r="15" spans="2:13" ht="22.5" customHeight="1" x14ac:dyDescent="0.25">
      <c r="B15" s="40" t="s">
        <v>639</v>
      </c>
      <c r="C15" s="33" t="s">
        <v>647</v>
      </c>
      <c r="D15" s="33" t="s">
        <v>648</v>
      </c>
      <c r="E15" s="38" t="s">
        <v>647</v>
      </c>
      <c r="F15" s="44" t="s">
        <v>59</v>
      </c>
      <c r="G15" s="45" t="s">
        <v>649</v>
      </c>
      <c r="H15" s="49">
        <f>COUNTIF(리포트·대시보드!$J$4:$J$200,"Pass")/COUNTA(리포트·대시보드!$D$4:$D$200)</f>
        <v>0</v>
      </c>
    </row>
    <row r="16" spans="2:13" ht="22.5" customHeight="1" x14ac:dyDescent="0.25">
      <c r="B16" s="40" t="s">
        <v>650</v>
      </c>
      <c r="C16" s="11"/>
      <c r="D16" s="11"/>
      <c r="E16" s="3"/>
      <c r="F16" s="20"/>
      <c r="G16" s="45" t="s">
        <v>651</v>
      </c>
      <c r="H16" s="49">
        <f>32/79</f>
        <v>0.4050632911392405</v>
      </c>
    </row>
    <row r="17" spans="2:8" ht="22.5" customHeight="1" x14ac:dyDescent="0.25">
      <c r="B17"/>
      <c r="C17"/>
      <c r="D17"/>
      <c r="E17"/>
      <c r="F17"/>
      <c r="G17"/>
      <c r="H17"/>
    </row>
    <row r="18" spans="2:8" ht="22.5" customHeight="1" x14ac:dyDescent="0.25">
      <c r="B18"/>
      <c r="C18"/>
      <c r="D18"/>
      <c r="E18"/>
      <c r="F18"/>
      <c r="G18"/>
      <c r="H18"/>
    </row>
    <row r="19" spans="2:8" ht="22.5" customHeight="1" x14ac:dyDescent="0.25">
      <c r="B19"/>
      <c r="C19"/>
      <c r="D19"/>
      <c r="E19"/>
      <c r="F19"/>
      <c r="G19"/>
      <c r="H19"/>
    </row>
    <row r="20" spans="2:8" ht="22.5" customHeight="1" x14ac:dyDescent="0.25">
      <c r="B20"/>
      <c r="C20"/>
      <c r="D20"/>
      <c r="E20"/>
      <c r="F20"/>
      <c r="G20"/>
      <c r="H20"/>
    </row>
    <row r="21" spans="2:8" ht="22.5" customHeight="1" x14ac:dyDescent="0.25">
      <c r="B21"/>
      <c r="C21"/>
      <c r="D21"/>
      <c r="E21"/>
      <c r="F21"/>
      <c r="G21"/>
      <c r="H21"/>
    </row>
    <row r="22" spans="2:8" ht="22.5" customHeight="1" x14ac:dyDescent="0.25">
      <c r="B22"/>
      <c r="C22"/>
      <c r="D22"/>
      <c r="E22"/>
      <c r="F22"/>
      <c r="G22"/>
      <c r="H22"/>
    </row>
    <row r="23" spans="2:8" ht="22.5" customHeight="1" x14ac:dyDescent="0.25">
      <c r="B23" s="50" t="s">
        <v>652</v>
      </c>
    </row>
    <row r="27" spans="2:8" ht="22.5" customHeight="1" x14ac:dyDescent="0.25">
      <c r="B27" s="66" t="s">
        <v>15</v>
      </c>
      <c r="C27" s="67"/>
      <c r="D27" s="67"/>
      <c r="E27" s="67"/>
      <c r="F27" s="67"/>
    </row>
    <row r="28" spans="2:8" ht="22.5" customHeight="1" x14ac:dyDescent="0.25">
      <c r="B28" s="6" t="s">
        <v>16</v>
      </c>
      <c r="C28" s="6" t="s">
        <v>17</v>
      </c>
      <c r="D28" s="6" t="s">
        <v>18</v>
      </c>
      <c r="E28" s="6" t="s">
        <v>19</v>
      </c>
      <c r="F28" s="6" t="s">
        <v>20</v>
      </c>
    </row>
    <row r="29" spans="2:8" ht="22.5" customHeight="1" x14ac:dyDescent="0.25">
      <c r="B29" s="68" t="s">
        <v>21</v>
      </c>
      <c r="C29" s="17" t="s">
        <v>22</v>
      </c>
      <c r="D29" s="17">
        <v>8</v>
      </c>
      <c r="E29" s="17">
        <v>8</v>
      </c>
      <c r="F29" s="21">
        <v>1</v>
      </c>
    </row>
    <row r="30" spans="2:8" ht="22.5" customHeight="1" x14ac:dyDescent="0.25">
      <c r="B30" s="69"/>
      <c r="C30" s="17" t="s">
        <v>23</v>
      </c>
      <c r="D30" s="8">
        <v>6</v>
      </c>
      <c r="E30" s="18">
        <v>6</v>
      </c>
      <c r="F30" s="22">
        <v>1</v>
      </c>
    </row>
    <row r="31" spans="2:8" ht="22.5" customHeight="1" x14ac:dyDescent="0.25">
      <c r="B31" s="8" t="s">
        <v>24</v>
      </c>
      <c r="C31" s="8" t="s">
        <v>24</v>
      </c>
      <c r="D31" s="17">
        <v>1</v>
      </c>
      <c r="E31" s="17">
        <v>1</v>
      </c>
      <c r="F31" s="21">
        <v>1</v>
      </c>
    </row>
    <row r="32" spans="2:8" ht="22.5" customHeight="1" x14ac:dyDescent="0.25">
      <c r="B32" s="17" t="s">
        <v>25</v>
      </c>
      <c r="C32" s="17" t="s">
        <v>25</v>
      </c>
      <c r="D32" s="8">
        <v>1</v>
      </c>
      <c r="E32" s="18">
        <v>1</v>
      </c>
      <c r="F32" s="22">
        <v>1</v>
      </c>
    </row>
  </sheetData>
  <mergeCells count="3">
    <mergeCell ref="B27:F27"/>
    <mergeCell ref="B29:B30"/>
    <mergeCell ref="B1: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60"/>
  <sheetViews>
    <sheetView zoomScaleNormal="100" workbookViewId="0">
      <pane ySplit="3" topLeftCell="A37" activePane="bottomLeft" state="frozen"/>
      <selection pane="bottomLeft" activeCell="J33" sqref="J33"/>
    </sheetView>
  </sheetViews>
  <sheetFormatPr defaultColWidth="8.7109375" defaultRowHeight="16.5" x14ac:dyDescent="0.3"/>
  <cols>
    <col min="1" max="1" width="12.28515625" style="4" customWidth="1"/>
    <col min="2" max="2" width="17.85546875" style="4" customWidth="1"/>
    <col min="3" max="3" width="44.7109375" style="4" customWidth="1"/>
    <col min="4" max="4" width="9.85546875" style="4" customWidth="1"/>
    <col min="5" max="5" width="14" style="4" customWidth="1"/>
    <col min="6" max="6" width="11.85546875" style="4" customWidth="1"/>
    <col min="7" max="7" width="8.5703125" style="4" customWidth="1"/>
    <col min="8" max="9" width="21.85546875" style="4" customWidth="1"/>
    <col min="10" max="10" width="18.140625" style="4" customWidth="1"/>
    <col min="11" max="11" width="55.5703125" style="14" customWidth="1"/>
    <col min="12" max="12" width="8.7109375" style="4" customWidth="1"/>
    <col min="13" max="16" width="8.7109375" style="4"/>
    <col min="17" max="17" width="84.42578125" style="4" customWidth="1"/>
    <col min="18" max="16384" width="8.7109375" style="4"/>
  </cols>
  <sheetData>
    <row r="1" spans="1:12" ht="20.25" x14ac:dyDescent="0.3">
      <c r="A1" s="23"/>
      <c r="B1" s="24"/>
      <c r="C1" s="24"/>
      <c r="D1" s="25"/>
      <c r="E1" s="25" t="s">
        <v>26</v>
      </c>
      <c r="F1" s="25"/>
      <c r="G1" s="24"/>
      <c r="H1" s="24"/>
      <c r="I1" s="24"/>
      <c r="J1" s="24"/>
      <c r="K1" s="24"/>
    </row>
    <row r="2" spans="1:12" ht="24" x14ac:dyDescent="0.3">
      <c r="A2" s="5" t="s">
        <v>1</v>
      </c>
      <c r="B2" s="30" t="s">
        <v>55</v>
      </c>
      <c r="C2" s="7"/>
      <c r="D2" s="5" t="s">
        <v>2</v>
      </c>
      <c r="E2" s="27" t="s">
        <v>56</v>
      </c>
      <c r="G2" s="5" t="s">
        <v>27</v>
      </c>
      <c r="H2" s="27" t="s">
        <v>573</v>
      </c>
      <c r="I2" s="19"/>
      <c r="K2" s="5" t="s">
        <v>28</v>
      </c>
      <c r="L2" s="31" t="s">
        <v>59</v>
      </c>
    </row>
    <row r="3" spans="1:12" x14ac:dyDescent="0.3">
      <c r="A3" s="6" t="s">
        <v>29</v>
      </c>
      <c r="B3" s="6" t="s">
        <v>30</v>
      </c>
      <c r="C3" s="6" t="s">
        <v>31</v>
      </c>
      <c r="D3" s="6" t="s">
        <v>32</v>
      </c>
      <c r="E3" s="6" t="s">
        <v>33</v>
      </c>
      <c r="F3" s="6" t="s">
        <v>34</v>
      </c>
      <c r="G3" s="6" t="s">
        <v>35</v>
      </c>
      <c r="H3" s="6" t="s">
        <v>36</v>
      </c>
      <c r="I3" s="6" t="s">
        <v>37</v>
      </c>
      <c r="J3" s="6" t="s">
        <v>38</v>
      </c>
      <c r="K3" s="6" t="s">
        <v>39</v>
      </c>
    </row>
    <row r="4" spans="1:12" s="14" customFormat="1" ht="27" x14ac:dyDescent="0.3">
      <c r="A4" s="26">
        <v>1</v>
      </c>
      <c r="B4" s="32" t="s">
        <v>574</v>
      </c>
      <c r="C4" s="32" t="s">
        <v>575</v>
      </c>
      <c r="D4" s="32" t="s">
        <v>576</v>
      </c>
      <c r="E4" s="32" t="s">
        <v>59</v>
      </c>
      <c r="F4" s="32" t="s">
        <v>577</v>
      </c>
      <c r="G4" s="32" t="s">
        <v>59</v>
      </c>
      <c r="H4" s="32" t="s">
        <v>577</v>
      </c>
      <c r="I4" s="32" t="s">
        <v>577</v>
      </c>
      <c r="J4" s="32" t="s">
        <v>40</v>
      </c>
      <c r="K4" s="32" t="s">
        <v>578</v>
      </c>
    </row>
    <row r="5" spans="1:12" s="14" customFormat="1" ht="27" x14ac:dyDescent="0.3">
      <c r="A5" s="11">
        <v>2</v>
      </c>
      <c r="B5" s="33" t="s">
        <v>574</v>
      </c>
      <c r="C5" s="33" t="s">
        <v>579</v>
      </c>
      <c r="D5" s="33" t="s">
        <v>576</v>
      </c>
      <c r="E5" s="33" t="s">
        <v>59</v>
      </c>
      <c r="F5" s="33" t="s">
        <v>577</v>
      </c>
      <c r="G5" s="33" t="s">
        <v>59</v>
      </c>
      <c r="H5" s="33" t="s">
        <v>577</v>
      </c>
      <c r="I5" s="33" t="s">
        <v>577</v>
      </c>
      <c r="J5" s="33" t="s">
        <v>40</v>
      </c>
      <c r="K5" s="33" t="s">
        <v>580</v>
      </c>
    </row>
    <row r="6" spans="1:12" s="14" customFormat="1" ht="40.5" x14ac:dyDescent="0.3">
      <c r="A6" s="26">
        <v>3</v>
      </c>
      <c r="B6" s="32" t="s">
        <v>581</v>
      </c>
      <c r="C6" s="32" t="s">
        <v>582</v>
      </c>
      <c r="D6" s="32" t="s">
        <v>576</v>
      </c>
      <c r="E6" s="32" t="s">
        <v>59</v>
      </c>
      <c r="F6" s="32" t="s">
        <v>577</v>
      </c>
      <c r="G6" s="32" t="s">
        <v>59</v>
      </c>
      <c r="H6" s="32" t="s">
        <v>577</v>
      </c>
      <c r="I6" s="32" t="s">
        <v>583</v>
      </c>
      <c r="J6" s="32" t="s">
        <v>40</v>
      </c>
      <c r="K6" s="32" t="s">
        <v>584</v>
      </c>
    </row>
    <row r="7" spans="1:12" s="14" customFormat="1" ht="40.5" x14ac:dyDescent="0.3">
      <c r="A7" s="11">
        <v>4</v>
      </c>
      <c r="B7" s="33" t="s">
        <v>585</v>
      </c>
      <c r="C7" s="33" t="s">
        <v>586</v>
      </c>
      <c r="D7" s="33" t="s">
        <v>576</v>
      </c>
      <c r="E7" s="33" t="s">
        <v>59</v>
      </c>
      <c r="F7" s="33" t="s">
        <v>583</v>
      </c>
      <c r="G7" s="33" t="s">
        <v>59</v>
      </c>
      <c r="H7" s="33" t="s">
        <v>583</v>
      </c>
      <c r="I7" s="33" t="s">
        <v>583</v>
      </c>
      <c r="J7" s="33" t="s">
        <v>40</v>
      </c>
      <c r="K7" s="11"/>
    </row>
    <row r="8" spans="1:12" s="14" customFormat="1" ht="27" x14ac:dyDescent="0.3">
      <c r="A8" s="26">
        <v>5</v>
      </c>
      <c r="B8" s="32" t="s">
        <v>585</v>
      </c>
      <c r="C8" s="32" t="s">
        <v>587</v>
      </c>
      <c r="D8" s="32" t="s">
        <v>576</v>
      </c>
      <c r="E8" s="32" t="s">
        <v>59</v>
      </c>
      <c r="F8" s="32" t="s">
        <v>583</v>
      </c>
      <c r="G8" s="32" t="s">
        <v>59</v>
      </c>
      <c r="H8" s="32" t="s">
        <v>583</v>
      </c>
      <c r="I8" s="32" t="s">
        <v>583</v>
      </c>
      <c r="J8" s="32" t="s">
        <v>40</v>
      </c>
      <c r="K8" s="32" t="s">
        <v>588</v>
      </c>
    </row>
    <row r="9" spans="1:12" s="14" customFormat="1" ht="27" x14ac:dyDescent="0.3">
      <c r="A9" s="11">
        <v>6</v>
      </c>
      <c r="B9" s="33" t="s">
        <v>403</v>
      </c>
      <c r="C9" s="33" t="s">
        <v>589</v>
      </c>
      <c r="D9" s="33" t="s">
        <v>576</v>
      </c>
      <c r="E9" s="33" t="s">
        <v>59</v>
      </c>
      <c r="F9" s="33" t="s">
        <v>583</v>
      </c>
      <c r="G9" s="33" t="s">
        <v>59</v>
      </c>
      <c r="H9" s="33" t="s">
        <v>583</v>
      </c>
      <c r="I9" s="33" t="s">
        <v>583</v>
      </c>
      <c r="J9" s="33" t="s">
        <v>40</v>
      </c>
      <c r="K9" s="33" t="s">
        <v>590</v>
      </c>
    </row>
    <row r="10" spans="1:12" s="14" customFormat="1" ht="27" x14ac:dyDescent="0.3">
      <c r="A10" s="26">
        <v>7</v>
      </c>
      <c r="B10" s="32" t="s">
        <v>591</v>
      </c>
      <c r="C10" s="32" t="s">
        <v>592</v>
      </c>
      <c r="D10" s="32" t="s">
        <v>576</v>
      </c>
      <c r="E10" s="32" t="s">
        <v>59</v>
      </c>
      <c r="F10" s="32" t="s">
        <v>583</v>
      </c>
      <c r="G10" s="32" t="s">
        <v>59</v>
      </c>
      <c r="H10" s="32" t="s">
        <v>583</v>
      </c>
      <c r="I10" s="32" t="s">
        <v>583</v>
      </c>
      <c r="J10" s="32" t="s">
        <v>40</v>
      </c>
      <c r="K10" s="32" t="s">
        <v>593</v>
      </c>
    </row>
    <row r="11" spans="1:12" s="14" customFormat="1" ht="40.5" x14ac:dyDescent="0.3">
      <c r="A11" s="11">
        <v>8</v>
      </c>
      <c r="B11" s="33" t="s">
        <v>10</v>
      </c>
      <c r="C11" s="33" t="s">
        <v>594</v>
      </c>
      <c r="D11" s="33" t="s">
        <v>595</v>
      </c>
      <c r="E11" s="33" t="s">
        <v>59</v>
      </c>
      <c r="F11" s="33" t="s">
        <v>583</v>
      </c>
      <c r="G11" s="33" t="s">
        <v>59</v>
      </c>
      <c r="H11" s="33" t="s">
        <v>583</v>
      </c>
      <c r="I11" s="33" t="s">
        <v>583</v>
      </c>
      <c r="J11" s="33" t="s">
        <v>40</v>
      </c>
      <c r="K11" s="11"/>
    </row>
    <row r="12" spans="1:12" s="14" customFormat="1" ht="27" x14ac:dyDescent="0.3">
      <c r="A12" s="26">
        <v>9</v>
      </c>
      <c r="B12" s="32" t="s">
        <v>596</v>
      </c>
      <c r="C12" s="32" t="s">
        <v>597</v>
      </c>
      <c r="D12" s="32" t="s">
        <v>598</v>
      </c>
      <c r="E12" s="32" t="s">
        <v>59</v>
      </c>
      <c r="F12" s="32" t="s">
        <v>583</v>
      </c>
      <c r="G12" s="32" t="s">
        <v>59</v>
      </c>
      <c r="H12" s="32" t="s">
        <v>583</v>
      </c>
      <c r="I12" s="32" t="s">
        <v>583</v>
      </c>
      <c r="J12" s="32" t="s">
        <v>40</v>
      </c>
      <c r="K12" s="26"/>
    </row>
    <row r="13" spans="1:12" s="14" customFormat="1" ht="27" x14ac:dyDescent="0.3">
      <c r="A13" s="11">
        <v>10</v>
      </c>
      <c r="B13" s="33" t="s">
        <v>581</v>
      </c>
      <c r="C13" s="33" t="s">
        <v>599</v>
      </c>
      <c r="D13" s="33" t="s">
        <v>576</v>
      </c>
      <c r="E13" s="33" t="s">
        <v>59</v>
      </c>
      <c r="F13" s="33" t="s">
        <v>600</v>
      </c>
      <c r="G13" s="33" t="s">
        <v>59</v>
      </c>
      <c r="H13" s="33" t="s">
        <v>600</v>
      </c>
      <c r="I13" s="33" t="s">
        <v>600</v>
      </c>
      <c r="J13" s="33" t="s">
        <v>40</v>
      </c>
      <c r="K13" s="33" t="s">
        <v>601</v>
      </c>
    </row>
    <row r="14" spans="1:12" s="14" customFormat="1" ht="40.5" x14ac:dyDescent="0.3">
      <c r="A14" s="26">
        <v>11</v>
      </c>
      <c r="B14" s="32" t="s">
        <v>585</v>
      </c>
      <c r="C14" s="32" t="s">
        <v>602</v>
      </c>
      <c r="D14" s="32" t="s">
        <v>598</v>
      </c>
      <c r="E14" s="32" t="s">
        <v>59</v>
      </c>
      <c r="F14" s="32" t="s">
        <v>600</v>
      </c>
      <c r="G14" s="32" t="s">
        <v>59</v>
      </c>
      <c r="H14" s="32" t="s">
        <v>600</v>
      </c>
      <c r="I14" s="32" t="s">
        <v>600</v>
      </c>
      <c r="J14" s="32" t="s">
        <v>40</v>
      </c>
      <c r="K14" s="32" t="s">
        <v>601</v>
      </c>
    </row>
    <row r="15" spans="1:12" s="14" customFormat="1" ht="27" x14ac:dyDescent="0.3">
      <c r="A15" s="11">
        <v>12</v>
      </c>
      <c r="B15" s="33" t="s">
        <v>10</v>
      </c>
      <c r="C15" s="33" t="s">
        <v>603</v>
      </c>
      <c r="D15" s="33" t="s">
        <v>598</v>
      </c>
      <c r="E15" s="33" t="s">
        <v>59</v>
      </c>
      <c r="F15" s="33" t="s">
        <v>600</v>
      </c>
      <c r="G15" s="33" t="s">
        <v>59</v>
      </c>
      <c r="H15" s="33" t="s">
        <v>600</v>
      </c>
      <c r="I15" s="33" t="s">
        <v>600</v>
      </c>
      <c r="J15" s="33" t="s">
        <v>40</v>
      </c>
      <c r="K15" s="33" t="s">
        <v>601</v>
      </c>
    </row>
    <row r="16" spans="1:12" s="14" customFormat="1" ht="27" x14ac:dyDescent="0.3">
      <c r="A16" s="26">
        <v>13</v>
      </c>
      <c r="B16" s="32" t="s">
        <v>585</v>
      </c>
      <c r="C16" s="32" t="s">
        <v>604</v>
      </c>
      <c r="D16" s="32" t="s">
        <v>598</v>
      </c>
      <c r="E16" s="32" t="s">
        <v>59</v>
      </c>
      <c r="F16" s="32" t="s">
        <v>600</v>
      </c>
      <c r="G16" s="32" t="s">
        <v>59</v>
      </c>
      <c r="H16" s="32" t="s">
        <v>600</v>
      </c>
      <c r="I16" s="32" t="s">
        <v>600</v>
      </c>
      <c r="J16" s="32" t="s">
        <v>40</v>
      </c>
      <c r="K16" s="32" t="s">
        <v>605</v>
      </c>
    </row>
    <row r="17" spans="1:11" s="14" customFormat="1" ht="40.5" x14ac:dyDescent="0.3">
      <c r="A17" s="11">
        <v>14</v>
      </c>
      <c r="B17" s="33" t="s">
        <v>403</v>
      </c>
      <c r="C17" s="33" t="s">
        <v>606</v>
      </c>
      <c r="D17" s="33" t="s">
        <v>598</v>
      </c>
      <c r="E17" s="33" t="s">
        <v>59</v>
      </c>
      <c r="F17" s="33" t="s">
        <v>600</v>
      </c>
      <c r="G17" s="33" t="s">
        <v>59</v>
      </c>
      <c r="H17" s="33" t="s">
        <v>600</v>
      </c>
      <c r="I17" s="33" t="s">
        <v>600</v>
      </c>
      <c r="J17" s="33" t="s">
        <v>40</v>
      </c>
      <c r="K17" s="33" t="s">
        <v>607</v>
      </c>
    </row>
    <row r="18" spans="1:11" s="14" customFormat="1" ht="40.5" x14ac:dyDescent="0.3">
      <c r="A18" s="26">
        <v>15</v>
      </c>
      <c r="B18" s="32" t="s">
        <v>581</v>
      </c>
      <c r="C18" s="32" t="s">
        <v>608</v>
      </c>
      <c r="D18" s="32" t="s">
        <v>598</v>
      </c>
      <c r="E18" s="32" t="s">
        <v>59</v>
      </c>
      <c r="F18" s="32" t="s">
        <v>56</v>
      </c>
      <c r="G18" s="32" t="s">
        <v>59</v>
      </c>
      <c r="H18" s="32" t="s">
        <v>56</v>
      </c>
      <c r="I18" s="32" t="s">
        <v>56</v>
      </c>
      <c r="J18" s="32" t="s">
        <v>40</v>
      </c>
      <c r="K18" s="32" t="s">
        <v>609</v>
      </c>
    </row>
    <row r="19" spans="1:11" s="14" customFormat="1" ht="27" x14ac:dyDescent="0.3">
      <c r="A19" s="11">
        <v>16</v>
      </c>
      <c r="B19" s="33" t="s">
        <v>574</v>
      </c>
      <c r="C19" s="33" t="s">
        <v>610</v>
      </c>
      <c r="D19" s="33" t="s">
        <v>611</v>
      </c>
      <c r="E19" s="33" t="s">
        <v>59</v>
      </c>
      <c r="F19" s="33" t="s">
        <v>56</v>
      </c>
      <c r="G19" s="33" t="s">
        <v>59</v>
      </c>
      <c r="H19" s="34" t="s">
        <v>56</v>
      </c>
      <c r="I19" s="34" t="s">
        <v>56</v>
      </c>
      <c r="J19" s="33" t="s">
        <v>40</v>
      </c>
      <c r="K19" s="33" t="s">
        <v>609</v>
      </c>
    </row>
    <row r="20" spans="1:11" s="14" customFormat="1" x14ac:dyDescent="0.3">
      <c r="A20"/>
      <c r="B20"/>
      <c r="C20"/>
      <c r="D20"/>
      <c r="E20"/>
      <c r="F20"/>
      <c r="G20"/>
      <c r="H20"/>
      <c r="I20"/>
      <c r="J20"/>
      <c r="K20"/>
    </row>
    <row r="21" spans="1:11" s="14" customFormat="1" x14ac:dyDescent="0.3">
      <c r="A21"/>
      <c r="B21"/>
      <c r="C21"/>
      <c r="D21"/>
      <c r="E21"/>
      <c r="F21"/>
      <c r="G21"/>
      <c r="H21"/>
      <c r="I21"/>
      <c r="J21"/>
      <c r="K21"/>
    </row>
    <row r="22" spans="1:11" s="14" customFormat="1" x14ac:dyDescent="0.3">
      <c r="A22"/>
      <c r="B22"/>
      <c r="C22"/>
      <c r="D22"/>
      <c r="E22"/>
      <c r="F22"/>
      <c r="G22"/>
      <c r="H22"/>
      <c r="I22"/>
      <c r="J22"/>
      <c r="K22"/>
    </row>
    <row r="23" spans="1:11" s="14" customFormat="1" x14ac:dyDescent="0.3">
      <c r="A23"/>
      <c r="B23"/>
      <c r="C23"/>
      <c r="D23"/>
      <c r="E23"/>
      <c r="F23"/>
      <c r="G23"/>
      <c r="H23"/>
      <c r="I23"/>
      <c r="J23"/>
      <c r="K23"/>
    </row>
    <row r="24" spans="1:11" s="14" customFormat="1" x14ac:dyDescent="0.3">
      <c r="A24"/>
      <c r="B24"/>
      <c r="C24"/>
      <c r="D24"/>
      <c r="E24"/>
      <c r="F24"/>
      <c r="G24"/>
      <c r="H24"/>
      <c r="I24"/>
      <c r="J24"/>
      <c r="K24"/>
    </row>
    <row r="25" spans="1:11" s="14" customFormat="1" x14ac:dyDescent="0.3">
      <c r="A25"/>
      <c r="B25"/>
      <c r="C25"/>
      <c r="D25"/>
      <c r="E25"/>
      <c r="F25"/>
      <c r="G25"/>
      <c r="H25"/>
      <c r="I25"/>
      <c r="J25"/>
      <c r="K25"/>
    </row>
    <row r="26" spans="1:11" s="14" customFormat="1" x14ac:dyDescent="0.3">
      <c r="A26"/>
      <c r="B26"/>
      <c r="C26"/>
      <c r="D26"/>
      <c r="E26"/>
      <c r="F26"/>
      <c r="G26"/>
      <c r="H26"/>
      <c r="I26"/>
      <c r="J26"/>
      <c r="K26"/>
    </row>
    <row r="27" spans="1:11" s="14" customFormat="1" x14ac:dyDescent="0.3">
      <c r="A27"/>
      <c r="B27"/>
      <c r="C27"/>
      <c r="D27"/>
      <c r="E27"/>
      <c r="F27"/>
      <c r="G27"/>
      <c r="H27"/>
      <c r="I27"/>
      <c r="J27"/>
      <c r="K27"/>
    </row>
    <row r="28" spans="1:11" s="14" customFormat="1" x14ac:dyDescent="0.3">
      <c r="A28"/>
      <c r="B28"/>
      <c r="C28"/>
      <c r="D28"/>
      <c r="E28"/>
      <c r="F28"/>
      <c r="G28"/>
      <c r="H28"/>
      <c r="I28"/>
      <c r="J28"/>
      <c r="K28"/>
    </row>
    <row r="29" spans="1:11" s="14" customFormat="1" x14ac:dyDescent="0.3">
      <c r="A29"/>
      <c r="B29"/>
      <c r="C29"/>
      <c r="D29"/>
      <c r="E29"/>
      <c r="F29"/>
      <c r="G29"/>
      <c r="H29"/>
      <c r="I29"/>
      <c r="J29"/>
      <c r="K29"/>
    </row>
    <row r="30" spans="1:11" s="14" customFormat="1" x14ac:dyDescent="0.3">
      <c r="A30"/>
      <c r="B30"/>
      <c r="C30"/>
      <c r="D30"/>
      <c r="E30"/>
      <c r="F30"/>
      <c r="G30"/>
      <c r="H30"/>
      <c r="I30"/>
      <c r="J30"/>
      <c r="K30"/>
    </row>
    <row r="31" spans="1:11" s="14" customFormat="1" x14ac:dyDescent="0.3">
      <c r="A31"/>
      <c r="B31"/>
      <c r="C31"/>
      <c r="D31"/>
      <c r="E31"/>
      <c r="F31"/>
      <c r="G31"/>
      <c r="H31"/>
      <c r="I31"/>
      <c r="J31"/>
      <c r="K31"/>
    </row>
    <row r="32" spans="1:11" s="14" customFormat="1" x14ac:dyDescent="0.3">
      <c r="A32"/>
      <c r="B32"/>
      <c r="C32"/>
      <c r="D32"/>
      <c r="E32"/>
      <c r="F32"/>
      <c r="G32"/>
      <c r="H32"/>
      <c r="I32"/>
      <c r="J32"/>
      <c r="K32"/>
    </row>
    <row r="33" spans="1:11" s="14" customFormat="1" x14ac:dyDescent="0.3">
      <c r="A33"/>
      <c r="B33"/>
      <c r="C33"/>
      <c r="D33"/>
      <c r="E33"/>
      <c r="F33"/>
      <c r="G33"/>
      <c r="H33"/>
      <c r="I33"/>
      <c r="J33"/>
      <c r="K33"/>
    </row>
    <row r="34" spans="1:11" s="14" customFormat="1" x14ac:dyDescent="0.3">
      <c r="A34"/>
      <c r="B34"/>
      <c r="C34"/>
      <c r="D34"/>
      <c r="E34"/>
      <c r="F34"/>
      <c r="G34"/>
      <c r="H34"/>
      <c r="I34"/>
      <c r="J34"/>
      <c r="K34"/>
    </row>
    <row r="35" spans="1:11" s="14" customFormat="1" x14ac:dyDescent="0.3">
      <c r="A35"/>
      <c r="B35"/>
      <c r="C35"/>
      <c r="D35"/>
      <c r="E35"/>
      <c r="F35"/>
      <c r="G35"/>
      <c r="H35"/>
      <c r="I35"/>
      <c r="J35"/>
      <c r="K35"/>
    </row>
    <row r="36" spans="1:11" s="14" customFormat="1" ht="39.6" customHeight="1" x14ac:dyDescent="0.3">
      <c r="A36"/>
      <c r="B36"/>
      <c r="C36"/>
      <c r="D36"/>
      <c r="E36"/>
      <c r="F36"/>
      <c r="G36"/>
      <c r="H36"/>
      <c r="I36"/>
      <c r="J36"/>
      <c r="K36"/>
    </row>
    <row r="37" spans="1:11" s="14" customFormat="1" x14ac:dyDescent="0.3">
      <c r="A37"/>
      <c r="B37"/>
      <c r="C37"/>
      <c r="D37"/>
      <c r="E37"/>
      <c r="F37"/>
      <c r="G37"/>
      <c r="H37"/>
      <c r="I37"/>
      <c r="J37"/>
      <c r="K37"/>
    </row>
    <row r="38" spans="1:11" x14ac:dyDescent="0.3">
      <c r="A38"/>
      <c r="B38"/>
      <c r="C38"/>
      <c r="D38"/>
      <c r="E38"/>
      <c r="F38"/>
      <c r="G38"/>
      <c r="H38"/>
      <c r="I38"/>
      <c r="J38"/>
      <c r="K38"/>
    </row>
    <row r="39" spans="1:11" x14ac:dyDescent="0.3">
      <c r="A39"/>
      <c r="B39"/>
      <c r="C39"/>
      <c r="D39"/>
      <c r="E39"/>
      <c r="F39"/>
      <c r="G39"/>
      <c r="H39"/>
      <c r="I39"/>
      <c r="J39"/>
      <c r="K39"/>
    </row>
    <row r="40" spans="1:11" x14ac:dyDescent="0.3">
      <c r="A40"/>
      <c r="B40"/>
      <c r="C40"/>
      <c r="D40"/>
      <c r="E40"/>
      <c r="F40"/>
      <c r="G40"/>
      <c r="H40"/>
      <c r="I40"/>
      <c r="J40"/>
      <c r="K40"/>
    </row>
    <row r="41" spans="1:11" x14ac:dyDescent="0.3">
      <c r="A41"/>
      <c r="B41"/>
      <c r="C41"/>
      <c r="D41"/>
      <c r="E41"/>
      <c r="F41"/>
      <c r="G41"/>
      <c r="H41"/>
      <c r="I41"/>
      <c r="J41"/>
      <c r="K41"/>
    </row>
    <row r="42" spans="1:11" x14ac:dyDescent="0.3">
      <c r="A42"/>
      <c r="B42"/>
      <c r="C42"/>
      <c r="D42"/>
      <c r="E42"/>
      <c r="F42"/>
      <c r="G42"/>
      <c r="H42"/>
      <c r="I42"/>
      <c r="J42"/>
      <c r="K42"/>
    </row>
    <row r="43" spans="1:11" x14ac:dyDescent="0.3">
      <c r="A43"/>
      <c r="B43"/>
      <c r="C43"/>
      <c r="D43"/>
      <c r="E43"/>
      <c r="F43"/>
      <c r="G43"/>
      <c r="H43"/>
      <c r="I43"/>
      <c r="J43"/>
      <c r="K43"/>
    </row>
    <row r="44" spans="1:11" x14ac:dyDescent="0.3">
      <c r="A44"/>
      <c r="B44"/>
      <c r="C44"/>
      <c r="D44"/>
      <c r="E44"/>
      <c r="F44"/>
      <c r="G44"/>
      <c r="H44"/>
      <c r="I44"/>
      <c r="J44"/>
      <c r="K44"/>
    </row>
    <row r="45" spans="1:11" x14ac:dyDescent="0.3">
      <c r="A45"/>
      <c r="B45"/>
      <c r="C45"/>
      <c r="D45"/>
      <c r="E45"/>
      <c r="F45"/>
      <c r="G45"/>
      <c r="H45"/>
      <c r="I45"/>
      <c r="J45"/>
      <c r="K45"/>
    </row>
    <row r="46" spans="1:11" x14ac:dyDescent="0.3">
      <c r="A46"/>
      <c r="B46"/>
      <c r="C46"/>
      <c r="D46"/>
      <c r="E46"/>
      <c r="F46"/>
      <c r="G46"/>
      <c r="H46"/>
      <c r="I46"/>
      <c r="J46"/>
      <c r="K46"/>
    </row>
    <row r="47" spans="1:11" x14ac:dyDescent="0.3">
      <c r="A47"/>
      <c r="B47"/>
      <c r="C47"/>
      <c r="D47"/>
      <c r="E47"/>
      <c r="F47"/>
      <c r="G47"/>
      <c r="H47"/>
      <c r="I47"/>
      <c r="J47"/>
      <c r="K47"/>
    </row>
    <row r="48" spans="1:11" x14ac:dyDescent="0.3">
      <c r="A48"/>
      <c r="B48"/>
      <c r="C48"/>
      <c r="D48"/>
      <c r="E48"/>
      <c r="F48"/>
      <c r="G48"/>
      <c r="H48"/>
      <c r="I48"/>
      <c r="J48"/>
      <c r="K48"/>
    </row>
    <row r="49" spans="1:11" x14ac:dyDescent="0.3">
      <c r="A49"/>
      <c r="B49"/>
      <c r="C49"/>
      <c r="D49"/>
      <c r="E49"/>
      <c r="F49"/>
      <c r="G49"/>
      <c r="H49"/>
      <c r="I49"/>
      <c r="J49"/>
      <c r="K49"/>
    </row>
    <row r="50" spans="1:11" x14ac:dyDescent="0.3">
      <c r="A50"/>
      <c r="B50"/>
      <c r="C50"/>
      <c r="D50"/>
      <c r="E50"/>
      <c r="F50"/>
      <c r="G50"/>
      <c r="H50"/>
      <c r="I50"/>
      <c r="J50"/>
      <c r="K50"/>
    </row>
    <row r="51" spans="1:11" x14ac:dyDescent="0.3">
      <c r="A51"/>
      <c r="B51"/>
      <c r="C51"/>
      <c r="D51"/>
      <c r="E51"/>
      <c r="F51"/>
      <c r="G51"/>
      <c r="H51"/>
      <c r="I51"/>
      <c r="J51"/>
      <c r="K51"/>
    </row>
    <row r="52" spans="1:11" x14ac:dyDescent="0.3">
      <c r="A52"/>
      <c r="B52"/>
      <c r="C52"/>
      <c r="D52"/>
      <c r="E52"/>
      <c r="F52"/>
      <c r="G52"/>
      <c r="H52"/>
      <c r="I52"/>
      <c r="J52"/>
      <c r="K52"/>
    </row>
    <row r="53" spans="1:11" x14ac:dyDescent="0.3">
      <c r="A53"/>
      <c r="B53"/>
      <c r="C53"/>
      <c r="D53"/>
      <c r="E53"/>
      <c r="F53"/>
      <c r="G53"/>
      <c r="H53"/>
      <c r="I53"/>
      <c r="J53"/>
      <c r="K53"/>
    </row>
    <row r="54" spans="1:11" x14ac:dyDescent="0.3">
      <c r="A54"/>
      <c r="B54"/>
      <c r="C54"/>
      <c r="D54"/>
      <c r="E54"/>
      <c r="F54"/>
      <c r="G54"/>
      <c r="H54"/>
      <c r="I54"/>
      <c r="J54"/>
      <c r="K54"/>
    </row>
    <row r="55" spans="1:11" x14ac:dyDescent="0.3">
      <c r="A55"/>
      <c r="B55"/>
      <c r="C55"/>
      <c r="D55"/>
      <c r="E55"/>
      <c r="F55"/>
      <c r="G55"/>
      <c r="H55"/>
      <c r="I55"/>
      <c r="J55"/>
      <c r="K55"/>
    </row>
    <row r="56" spans="1:11" x14ac:dyDescent="0.3">
      <c r="A56"/>
      <c r="B56"/>
      <c r="C56"/>
      <c r="D56"/>
      <c r="E56"/>
      <c r="F56"/>
      <c r="G56"/>
      <c r="H56"/>
      <c r="I56"/>
      <c r="J56"/>
      <c r="K56"/>
    </row>
    <row r="57" spans="1:11" x14ac:dyDescent="0.3">
      <c r="A57"/>
      <c r="B57"/>
      <c r="C57"/>
      <c r="D57"/>
      <c r="E57"/>
      <c r="F57"/>
      <c r="G57"/>
      <c r="H57"/>
      <c r="I57"/>
      <c r="J57"/>
      <c r="K57"/>
    </row>
    <row r="58" spans="1:11" x14ac:dyDescent="0.3">
      <c r="A58"/>
      <c r="B58"/>
      <c r="C58"/>
      <c r="D58"/>
      <c r="E58"/>
      <c r="F58"/>
      <c r="G58"/>
      <c r="H58"/>
      <c r="I58"/>
      <c r="J58"/>
      <c r="K58"/>
    </row>
    <row r="59" spans="1:11" x14ac:dyDescent="0.3">
      <c r="A59"/>
      <c r="B59"/>
      <c r="C59"/>
      <c r="D59"/>
      <c r="E59"/>
      <c r="F59"/>
      <c r="G59"/>
      <c r="H59"/>
      <c r="I59"/>
      <c r="J59"/>
      <c r="K59"/>
    </row>
    <row r="60" spans="1:11" x14ac:dyDescent="0.3">
      <c r="A60"/>
      <c r="B60"/>
      <c r="C60"/>
      <c r="D60"/>
      <c r="E60"/>
      <c r="F60"/>
      <c r="G60"/>
      <c r="H60"/>
      <c r="I60"/>
      <c r="J60"/>
      <c r="K60"/>
    </row>
  </sheetData>
  <phoneticPr fontId="1" type="noConversion"/>
  <dataValidations count="2">
    <dataValidation type="list" allowBlank="1" showInputMessage="1" showErrorMessage="1" sqref="D4:D19" xr:uid="{D6566AEE-80A2-4821-8713-8B7BA15A0CF1}">
      <formula1>"오류,수정,추가,검토"</formula1>
    </dataValidation>
    <dataValidation type="list" allowBlank="1" showInputMessage="1" showErrorMessage="1" sqref="J4:J19" xr:uid="{ED54AD00-5445-4872-AA4C-2FA1BA5C177B}">
      <formula1>" ,진행중,완료"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329C-4EE5-4E4A-B858-03007815A41F}">
  <dimension ref="A1:L200"/>
  <sheetViews>
    <sheetView topLeftCell="C1" zoomScaleNormal="100" workbookViewId="0">
      <pane ySplit="3" topLeftCell="A7" activePane="bottomLeft" state="frozen"/>
      <selection activeCell="M7" sqref="M7"/>
      <selection pane="bottomLeft" activeCell="T7" sqref="T7"/>
    </sheetView>
  </sheetViews>
  <sheetFormatPr defaultColWidth="8.7109375" defaultRowHeight="16.5" x14ac:dyDescent="0.3"/>
  <cols>
    <col min="1" max="1" width="9.42578125" style="14" customWidth="1"/>
    <col min="2" max="2" width="22" style="14" customWidth="1"/>
    <col min="3" max="3" width="32.42578125" style="14" customWidth="1"/>
    <col min="4" max="4" width="14" style="14" customWidth="1"/>
    <col min="5" max="5" width="42" style="14" customWidth="1"/>
    <col min="6" max="6" width="35.7109375" style="14" customWidth="1"/>
    <col min="7" max="7" width="40.28515625" style="14" customWidth="1"/>
    <col min="8" max="8" width="51.140625" style="14" customWidth="1"/>
    <col min="9" max="9" width="25.85546875" style="14" customWidth="1"/>
    <col min="10" max="10" width="9.85546875" style="14" bestFit="1" customWidth="1"/>
    <col min="11" max="11" width="7.42578125" style="14" bestFit="1" customWidth="1"/>
    <col min="12" max="12" width="21.5703125" style="14" customWidth="1"/>
    <col min="13" max="13" width="8.7109375" style="14" customWidth="1"/>
    <col min="14" max="16384" width="8.7109375" style="14"/>
  </cols>
  <sheetData>
    <row r="1" spans="1:12" ht="36" customHeight="1" x14ac:dyDescent="0.3">
      <c r="A1" s="72" t="s">
        <v>41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21.75" customHeight="1" x14ac:dyDescent="0.3">
      <c r="A2" s="5" t="s">
        <v>1</v>
      </c>
      <c r="B2" s="27" t="s">
        <v>55</v>
      </c>
      <c r="D2" s="5" t="s">
        <v>2</v>
      </c>
      <c r="E2" s="27" t="s">
        <v>57</v>
      </c>
      <c r="G2" s="5" t="s">
        <v>27</v>
      </c>
      <c r="H2" s="27" t="s">
        <v>58</v>
      </c>
      <c r="J2" s="5" t="s">
        <v>28</v>
      </c>
      <c r="K2" s="27" t="s">
        <v>59</v>
      </c>
    </row>
    <row r="3" spans="1:12" ht="30" customHeight="1" x14ac:dyDescent="0.3">
      <c r="A3" s="6" t="s">
        <v>42</v>
      </c>
      <c r="B3" s="6" t="s">
        <v>43</v>
      </c>
      <c r="C3" s="6" t="s">
        <v>44</v>
      </c>
      <c r="D3" s="6" t="s">
        <v>45</v>
      </c>
      <c r="E3" s="6" t="s">
        <v>46</v>
      </c>
      <c r="F3" s="6" t="s">
        <v>47</v>
      </c>
      <c r="G3" s="6" t="s">
        <v>48</v>
      </c>
      <c r="H3" s="6" t="s">
        <v>49</v>
      </c>
      <c r="I3" s="6" t="s">
        <v>50</v>
      </c>
      <c r="J3" s="6" t="s">
        <v>51</v>
      </c>
      <c r="K3" s="6" t="s">
        <v>7</v>
      </c>
      <c r="L3" s="6" t="s">
        <v>39</v>
      </c>
    </row>
    <row r="4" spans="1:12" ht="36" x14ac:dyDescent="0.3">
      <c r="A4" s="2">
        <v>1</v>
      </c>
      <c r="B4" s="28" t="s">
        <v>60</v>
      </c>
      <c r="C4" s="28" t="s">
        <v>61</v>
      </c>
      <c r="D4" s="28" t="s">
        <v>62</v>
      </c>
      <c r="E4" s="28" t="s">
        <v>63</v>
      </c>
      <c r="F4" s="28" t="s">
        <v>64</v>
      </c>
      <c r="G4" s="29" t="s">
        <v>65</v>
      </c>
      <c r="H4" s="28" t="s">
        <v>66</v>
      </c>
      <c r="I4" s="28" t="s">
        <v>67</v>
      </c>
      <c r="J4" s="28" t="s">
        <v>52</v>
      </c>
      <c r="K4" s="28" t="s">
        <v>59</v>
      </c>
      <c r="L4" s="28" t="s">
        <v>68</v>
      </c>
    </row>
    <row r="5" spans="1:12" ht="36" x14ac:dyDescent="0.3">
      <c r="A5" s="2">
        <v>2</v>
      </c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9" t="s">
        <v>74</v>
      </c>
      <c r="H5" s="28" t="s">
        <v>75</v>
      </c>
      <c r="I5" s="28" t="s">
        <v>67</v>
      </c>
      <c r="J5" s="28" t="s">
        <v>52</v>
      </c>
      <c r="K5" s="28" t="s">
        <v>59</v>
      </c>
      <c r="L5" s="28" t="s">
        <v>76</v>
      </c>
    </row>
    <row r="6" spans="1:12" ht="24" x14ac:dyDescent="0.3">
      <c r="A6" s="2">
        <v>3</v>
      </c>
      <c r="B6" s="28" t="s">
        <v>77</v>
      </c>
      <c r="C6" s="28" t="s">
        <v>78</v>
      </c>
      <c r="D6" s="28" t="s">
        <v>79</v>
      </c>
      <c r="E6" s="28" t="s">
        <v>80</v>
      </c>
      <c r="F6" s="28" t="s">
        <v>81</v>
      </c>
      <c r="G6" s="29" t="s">
        <v>82</v>
      </c>
      <c r="H6" s="28" t="s">
        <v>83</v>
      </c>
      <c r="I6" s="28" t="s">
        <v>67</v>
      </c>
      <c r="J6" s="28" t="s">
        <v>52</v>
      </c>
      <c r="K6" s="28" t="s">
        <v>59</v>
      </c>
      <c r="L6" s="28" t="s">
        <v>84</v>
      </c>
    </row>
    <row r="7" spans="1:12" ht="36" x14ac:dyDescent="0.3">
      <c r="A7" s="2">
        <v>4</v>
      </c>
      <c r="B7" s="28" t="s">
        <v>85</v>
      </c>
      <c r="C7" s="28" t="s">
        <v>86</v>
      </c>
      <c r="D7" s="28" t="s">
        <v>87</v>
      </c>
      <c r="E7" s="28" t="s">
        <v>88</v>
      </c>
      <c r="F7" s="28" t="s">
        <v>89</v>
      </c>
      <c r="G7" s="29" t="s">
        <v>90</v>
      </c>
      <c r="H7" s="28" t="s">
        <v>91</v>
      </c>
      <c r="I7" s="2"/>
      <c r="J7" s="2"/>
      <c r="K7" s="2"/>
      <c r="L7" s="28" t="s">
        <v>92</v>
      </c>
    </row>
    <row r="8" spans="1:12" ht="24" x14ac:dyDescent="0.3">
      <c r="A8" s="2">
        <v>5</v>
      </c>
      <c r="B8" s="28" t="s">
        <v>60</v>
      </c>
      <c r="C8" s="28" t="s">
        <v>93</v>
      </c>
      <c r="D8" s="28" t="s">
        <v>94</v>
      </c>
      <c r="E8" s="28" t="s">
        <v>95</v>
      </c>
      <c r="F8" s="28" t="s">
        <v>96</v>
      </c>
      <c r="G8" s="29" t="s">
        <v>97</v>
      </c>
      <c r="H8" s="28" t="s">
        <v>98</v>
      </c>
      <c r="I8" s="2"/>
      <c r="J8" s="2"/>
      <c r="K8" s="2"/>
      <c r="L8" s="28" t="s">
        <v>99</v>
      </c>
    </row>
    <row r="9" spans="1:12" ht="24" x14ac:dyDescent="0.3">
      <c r="A9" s="2">
        <v>6</v>
      </c>
      <c r="B9" s="28" t="s">
        <v>100</v>
      </c>
      <c r="C9" s="28" t="s">
        <v>101</v>
      </c>
      <c r="D9" s="28" t="s">
        <v>102</v>
      </c>
      <c r="E9" s="28" t="s">
        <v>103</v>
      </c>
      <c r="F9" s="28" t="s">
        <v>104</v>
      </c>
      <c r="G9" s="29" t="s">
        <v>105</v>
      </c>
      <c r="H9" s="28" t="s">
        <v>106</v>
      </c>
      <c r="I9" s="2"/>
      <c r="J9" s="2"/>
      <c r="K9" s="2"/>
      <c r="L9" s="28" t="s">
        <v>107</v>
      </c>
    </row>
    <row r="10" spans="1:12" ht="51.75" customHeight="1" x14ac:dyDescent="0.3">
      <c r="A10"/>
      <c r="B10"/>
      <c r="C10"/>
      <c r="D10"/>
      <c r="E10"/>
      <c r="F10"/>
      <c r="G10"/>
      <c r="H10"/>
      <c r="I10"/>
      <c r="J10"/>
      <c r="K10"/>
      <c r="L10"/>
    </row>
    <row r="11" spans="1:12" ht="51.75" customHeight="1" x14ac:dyDescent="0.3">
      <c r="A11"/>
      <c r="B11"/>
      <c r="C11"/>
      <c r="D11"/>
      <c r="E11"/>
      <c r="F11"/>
      <c r="G11"/>
      <c r="H11"/>
      <c r="I11"/>
      <c r="J11"/>
      <c r="K11"/>
      <c r="L11"/>
    </row>
    <row r="12" spans="1:12" ht="51.75" customHeight="1" x14ac:dyDescent="0.3">
      <c r="A12"/>
      <c r="B12"/>
      <c r="C12"/>
      <c r="D12"/>
      <c r="E12"/>
      <c r="F12"/>
      <c r="G12"/>
      <c r="H12"/>
      <c r="I12"/>
      <c r="J12"/>
      <c r="K12"/>
      <c r="L12"/>
    </row>
    <row r="13" spans="1:12" ht="51.75" customHeight="1" x14ac:dyDescent="0.3">
      <c r="A13"/>
      <c r="B13"/>
      <c r="C13"/>
      <c r="D13"/>
      <c r="E13"/>
      <c r="F13"/>
      <c r="G13"/>
      <c r="H13"/>
      <c r="I13"/>
      <c r="J13"/>
      <c r="K13"/>
      <c r="L13"/>
    </row>
    <row r="14" spans="1:12" ht="51.75" customHeight="1" x14ac:dyDescent="0.3">
      <c r="A14"/>
      <c r="B14"/>
      <c r="C14"/>
      <c r="D14"/>
      <c r="E14"/>
      <c r="F14"/>
      <c r="G14"/>
      <c r="H14"/>
      <c r="I14"/>
      <c r="J14"/>
      <c r="K14"/>
      <c r="L14"/>
    </row>
    <row r="15" spans="1:12" ht="51.75" customHeight="1" x14ac:dyDescent="0.3">
      <c r="A15"/>
      <c r="B15"/>
      <c r="C15"/>
      <c r="D15"/>
      <c r="E15"/>
      <c r="F15"/>
      <c r="G15"/>
      <c r="H15"/>
      <c r="I15"/>
      <c r="J15"/>
      <c r="K15"/>
      <c r="L15"/>
    </row>
    <row r="16" spans="1:12" ht="76.5" customHeight="1" x14ac:dyDescent="0.3">
      <c r="A16"/>
      <c r="B16"/>
      <c r="C16"/>
      <c r="D16"/>
      <c r="E16"/>
      <c r="F16"/>
      <c r="G16"/>
      <c r="H16"/>
      <c r="I16"/>
      <c r="J16"/>
      <c r="K16"/>
      <c r="L16"/>
    </row>
    <row r="17" spans="1:12" ht="19.5" customHeight="1" x14ac:dyDescent="0.3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3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3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3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3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3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3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3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3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3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3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3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3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3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3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3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3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3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3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3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3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3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3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3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3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3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3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3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3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3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3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3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3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3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3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3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3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3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3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3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3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3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3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3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3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3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3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3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3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3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3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3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3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3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3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3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3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3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3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3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3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3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3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3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3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3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3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3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3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3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3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3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3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3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3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3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3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3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3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3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3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3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3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3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3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3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3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3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3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3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3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3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3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3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3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3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3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3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3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3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3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3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3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3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3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3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3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3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3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3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3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3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3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3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3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3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3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3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3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3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3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3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3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3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3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3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3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3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3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3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3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3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3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3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3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3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3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3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3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3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3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3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3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3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3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3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3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3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3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3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3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3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3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3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3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3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3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3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3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3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3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3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3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3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3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3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3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3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3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3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3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3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3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3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3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3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3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3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3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3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3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3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3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3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2" type="noConversion"/>
  <conditionalFormatting sqref="J4:J9">
    <cfRule type="cellIs" dxfId="11" priority="1" operator="equal">
      <formula>"Fail"</formula>
    </cfRule>
  </conditionalFormatting>
  <dataValidations count="1">
    <dataValidation type="list" allowBlank="1" showInputMessage="1" showErrorMessage="1" sqref="J4:J9" xr:uid="{47701B13-A11E-42E4-982B-8A68731EB8FF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CC39-BC42-4A6A-B2C9-F798FB1063D1}">
  <dimension ref="A1:L200"/>
  <sheetViews>
    <sheetView topLeftCell="C1" zoomScaleNormal="100" workbookViewId="0">
      <pane ySplit="3" topLeftCell="A7" activePane="bottomLeft" state="frozen"/>
      <selection activeCell="M7" sqref="M7"/>
      <selection pane="bottomLeft" activeCell="T7" sqref="T7"/>
    </sheetView>
  </sheetViews>
  <sheetFormatPr defaultColWidth="8.7109375" defaultRowHeight="16.5" x14ac:dyDescent="0.3"/>
  <cols>
    <col min="1" max="1" width="9.42578125" style="14" customWidth="1"/>
    <col min="2" max="2" width="22" style="14" customWidth="1"/>
    <col min="3" max="3" width="32.42578125" style="14" customWidth="1"/>
    <col min="4" max="4" width="14" style="14" customWidth="1"/>
    <col min="5" max="5" width="42" style="14" customWidth="1"/>
    <col min="6" max="6" width="35.7109375" style="14" customWidth="1"/>
    <col min="7" max="7" width="40.28515625" style="14" customWidth="1"/>
    <col min="8" max="8" width="51.140625" style="14" customWidth="1"/>
    <col min="9" max="9" width="25.85546875" style="14" customWidth="1"/>
    <col min="10" max="10" width="9.85546875" style="14" bestFit="1" customWidth="1"/>
    <col min="11" max="11" width="7.42578125" style="14" bestFit="1" customWidth="1"/>
    <col min="12" max="12" width="21.5703125" style="14" customWidth="1"/>
    <col min="13" max="13" width="8.7109375" style="14" customWidth="1"/>
    <col min="14" max="16384" width="8.7109375" style="14"/>
  </cols>
  <sheetData>
    <row r="1" spans="1:12" ht="36" customHeight="1" x14ac:dyDescent="0.3">
      <c r="A1" s="72" t="s">
        <v>41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21.75" customHeight="1" x14ac:dyDescent="0.3">
      <c r="A2" s="5" t="s">
        <v>1</v>
      </c>
      <c r="B2" s="27" t="s">
        <v>55</v>
      </c>
      <c r="D2" s="5" t="s">
        <v>2</v>
      </c>
      <c r="E2" s="27" t="s">
        <v>57</v>
      </c>
      <c r="G2" s="5" t="s">
        <v>27</v>
      </c>
      <c r="H2" s="27" t="s">
        <v>58</v>
      </c>
      <c r="J2" s="5" t="s">
        <v>28</v>
      </c>
      <c r="K2" s="27" t="s">
        <v>59</v>
      </c>
    </row>
    <row r="3" spans="1:12" ht="30" customHeight="1" x14ac:dyDescent="0.3">
      <c r="A3" s="6" t="s">
        <v>42</v>
      </c>
      <c r="B3" s="6" t="s">
        <v>43</v>
      </c>
      <c r="C3" s="6" t="s">
        <v>44</v>
      </c>
      <c r="D3" s="6" t="s">
        <v>45</v>
      </c>
      <c r="E3" s="6" t="s">
        <v>46</v>
      </c>
      <c r="F3" s="6" t="s">
        <v>47</v>
      </c>
      <c r="G3" s="6" t="s">
        <v>48</v>
      </c>
      <c r="H3" s="6" t="s">
        <v>49</v>
      </c>
      <c r="I3" s="6" t="s">
        <v>50</v>
      </c>
      <c r="J3" s="6" t="s">
        <v>51</v>
      </c>
      <c r="K3" s="6" t="s">
        <v>7</v>
      </c>
      <c r="L3" s="6" t="s">
        <v>39</v>
      </c>
    </row>
    <row r="4" spans="1:12" ht="36" x14ac:dyDescent="0.3">
      <c r="A4" s="2">
        <v>1</v>
      </c>
      <c r="B4" s="28" t="s">
        <v>108</v>
      </c>
      <c r="C4" s="28" t="s">
        <v>109</v>
      </c>
      <c r="D4" s="28" t="s">
        <v>110</v>
      </c>
      <c r="E4" s="28" t="s">
        <v>111</v>
      </c>
      <c r="F4" s="28" t="s">
        <v>112</v>
      </c>
      <c r="G4" s="29" t="s">
        <v>113</v>
      </c>
      <c r="H4" s="28" t="s">
        <v>114</v>
      </c>
      <c r="I4" s="28" t="s">
        <v>115</v>
      </c>
      <c r="J4" s="28" t="s">
        <v>52</v>
      </c>
      <c r="K4" s="28" t="s">
        <v>59</v>
      </c>
      <c r="L4" s="28" t="s">
        <v>99</v>
      </c>
    </row>
    <row r="5" spans="1:12" ht="24" x14ac:dyDescent="0.3">
      <c r="A5" s="2">
        <v>2</v>
      </c>
      <c r="B5" s="28" t="s">
        <v>116</v>
      </c>
      <c r="C5" s="28" t="s">
        <v>117</v>
      </c>
      <c r="D5" s="28" t="s">
        <v>118</v>
      </c>
      <c r="E5" s="28" t="s">
        <v>119</v>
      </c>
      <c r="F5" s="28" t="s">
        <v>120</v>
      </c>
      <c r="G5" s="29" t="s">
        <v>121</v>
      </c>
      <c r="H5" s="28" t="s">
        <v>122</v>
      </c>
      <c r="I5" s="28" t="s">
        <v>115</v>
      </c>
      <c r="J5" s="28" t="s">
        <v>52</v>
      </c>
      <c r="K5" s="28" t="s">
        <v>59</v>
      </c>
      <c r="L5" s="28" t="s">
        <v>99</v>
      </c>
    </row>
    <row r="6" spans="1:12" ht="36" x14ac:dyDescent="0.3">
      <c r="A6" s="2">
        <v>3</v>
      </c>
      <c r="B6" s="28" t="s">
        <v>116</v>
      </c>
      <c r="C6" s="28" t="s">
        <v>123</v>
      </c>
      <c r="D6" s="28" t="s">
        <v>124</v>
      </c>
      <c r="E6" s="28" t="s">
        <v>125</v>
      </c>
      <c r="F6" s="28" t="s">
        <v>120</v>
      </c>
      <c r="G6" s="29" t="s">
        <v>126</v>
      </c>
      <c r="H6" s="28" t="s">
        <v>127</v>
      </c>
      <c r="I6" s="28" t="s">
        <v>115</v>
      </c>
      <c r="J6" s="28" t="s">
        <v>52</v>
      </c>
      <c r="K6" s="28" t="s">
        <v>59</v>
      </c>
      <c r="L6" s="28" t="s">
        <v>99</v>
      </c>
    </row>
    <row r="7" spans="1:12" ht="36" x14ac:dyDescent="0.3">
      <c r="A7" s="2">
        <v>4</v>
      </c>
      <c r="B7" s="28" t="s">
        <v>116</v>
      </c>
      <c r="C7" s="28" t="s">
        <v>128</v>
      </c>
      <c r="D7" s="28" t="s">
        <v>129</v>
      </c>
      <c r="E7" s="28" t="s">
        <v>130</v>
      </c>
      <c r="F7" s="28" t="s">
        <v>131</v>
      </c>
      <c r="G7" s="29" t="s">
        <v>132</v>
      </c>
      <c r="H7" s="28" t="s">
        <v>133</v>
      </c>
      <c r="I7" s="28" t="s">
        <v>115</v>
      </c>
      <c r="J7" s="28" t="s">
        <v>52</v>
      </c>
      <c r="K7" s="28" t="s">
        <v>59</v>
      </c>
      <c r="L7" s="28" t="s">
        <v>134</v>
      </c>
    </row>
    <row r="8" spans="1:12" ht="36" x14ac:dyDescent="0.3">
      <c r="A8" s="2">
        <v>5</v>
      </c>
      <c r="B8" s="28" t="s">
        <v>116</v>
      </c>
      <c r="C8" s="28" t="s">
        <v>135</v>
      </c>
      <c r="D8" s="28" t="s">
        <v>136</v>
      </c>
      <c r="E8" s="28" t="s">
        <v>137</v>
      </c>
      <c r="F8" s="28" t="s">
        <v>96</v>
      </c>
      <c r="G8" s="29" t="s">
        <v>138</v>
      </c>
      <c r="H8" s="28" t="s">
        <v>139</v>
      </c>
      <c r="I8" s="28" t="s">
        <v>115</v>
      </c>
      <c r="J8" s="28" t="s">
        <v>52</v>
      </c>
      <c r="K8" s="28" t="s">
        <v>59</v>
      </c>
      <c r="L8" s="28" t="s">
        <v>134</v>
      </c>
    </row>
    <row r="9" spans="1:12" ht="24" x14ac:dyDescent="0.3">
      <c r="A9" s="2">
        <v>6</v>
      </c>
      <c r="B9" s="28" t="s">
        <v>116</v>
      </c>
      <c r="C9" s="28" t="s">
        <v>140</v>
      </c>
      <c r="D9" s="28" t="s">
        <v>141</v>
      </c>
      <c r="E9" s="28" t="s">
        <v>142</v>
      </c>
      <c r="F9" s="28" t="s">
        <v>120</v>
      </c>
      <c r="G9" s="29" t="s">
        <v>143</v>
      </c>
      <c r="H9" s="28" t="s">
        <v>144</v>
      </c>
      <c r="I9" s="28" t="s">
        <v>145</v>
      </c>
      <c r="J9" s="28" t="s">
        <v>52</v>
      </c>
      <c r="K9" s="28" t="s">
        <v>59</v>
      </c>
      <c r="L9" s="28" t="s">
        <v>99</v>
      </c>
    </row>
    <row r="10" spans="1:12" ht="24" x14ac:dyDescent="0.3">
      <c r="A10" s="2">
        <v>7</v>
      </c>
      <c r="B10" s="28" t="s">
        <v>108</v>
      </c>
      <c r="C10" s="28" t="s">
        <v>146</v>
      </c>
      <c r="D10" s="28" t="s">
        <v>147</v>
      </c>
      <c r="E10" s="28" t="s">
        <v>148</v>
      </c>
      <c r="F10" s="28" t="s">
        <v>149</v>
      </c>
      <c r="G10" s="29" t="s">
        <v>150</v>
      </c>
      <c r="H10" s="28" t="s">
        <v>151</v>
      </c>
      <c r="I10" s="28" t="s">
        <v>67</v>
      </c>
      <c r="J10" s="28" t="s">
        <v>52</v>
      </c>
      <c r="K10" s="28" t="s">
        <v>59</v>
      </c>
      <c r="L10" s="2"/>
    </row>
    <row r="11" spans="1:12" ht="24" x14ac:dyDescent="0.3">
      <c r="A11" s="2">
        <v>8</v>
      </c>
      <c r="B11" s="28" t="s">
        <v>108</v>
      </c>
      <c r="C11" s="28" t="s">
        <v>152</v>
      </c>
      <c r="D11" s="28" t="s">
        <v>153</v>
      </c>
      <c r="E11" s="28" t="s">
        <v>154</v>
      </c>
      <c r="F11" s="28" t="s">
        <v>96</v>
      </c>
      <c r="G11" s="29" t="s">
        <v>155</v>
      </c>
      <c r="H11" s="28" t="s">
        <v>156</v>
      </c>
      <c r="I11" s="2"/>
      <c r="J11" s="2"/>
      <c r="K11" s="2"/>
      <c r="L11" s="2"/>
    </row>
    <row r="12" spans="1:12" ht="24" x14ac:dyDescent="0.3">
      <c r="A12" s="2">
        <v>9</v>
      </c>
      <c r="B12" s="28" t="s">
        <v>108</v>
      </c>
      <c r="C12" s="28" t="s">
        <v>157</v>
      </c>
      <c r="D12" s="28" t="s">
        <v>158</v>
      </c>
      <c r="E12" s="28" t="s">
        <v>159</v>
      </c>
      <c r="F12" s="28" t="s">
        <v>96</v>
      </c>
      <c r="G12" s="29" t="s">
        <v>160</v>
      </c>
      <c r="H12" s="28" t="s">
        <v>161</v>
      </c>
      <c r="I12" s="2"/>
      <c r="J12" s="2"/>
      <c r="K12" s="2"/>
      <c r="L12" s="2"/>
    </row>
    <row r="13" spans="1:12" ht="24" x14ac:dyDescent="0.3">
      <c r="A13" s="2">
        <v>10</v>
      </c>
      <c r="B13" s="28" t="s">
        <v>162</v>
      </c>
      <c r="C13" s="28" t="s">
        <v>163</v>
      </c>
      <c r="D13" s="28" t="s">
        <v>164</v>
      </c>
      <c r="E13" s="28" t="s">
        <v>165</v>
      </c>
      <c r="F13" s="28" t="s">
        <v>96</v>
      </c>
      <c r="G13" s="29" t="s">
        <v>166</v>
      </c>
      <c r="H13" s="28" t="s">
        <v>167</v>
      </c>
      <c r="I13" s="2"/>
      <c r="J13" s="2"/>
      <c r="K13" s="2"/>
      <c r="L13" s="28" t="s">
        <v>99</v>
      </c>
    </row>
    <row r="14" spans="1:12" ht="51.75" customHeight="1" x14ac:dyDescent="0.3">
      <c r="A14"/>
      <c r="B14"/>
      <c r="C14"/>
      <c r="D14"/>
      <c r="E14"/>
      <c r="F14"/>
      <c r="G14"/>
      <c r="H14"/>
      <c r="I14"/>
      <c r="J14"/>
      <c r="K14"/>
      <c r="L14"/>
    </row>
    <row r="15" spans="1:12" ht="51.75" customHeight="1" x14ac:dyDescent="0.3">
      <c r="A15"/>
      <c r="B15"/>
      <c r="C15"/>
      <c r="D15"/>
      <c r="E15"/>
      <c r="F15"/>
      <c r="G15"/>
      <c r="H15"/>
      <c r="I15"/>
      <c r="J15"/>
      <c r="K15"/>
      <c r="L15"/>
    </row>
    <row r="16" spans="1:12" ht="76.5" customHeight="1" x14ac:dyDescent="0.3">
      <c r="A16"/>
      <c r="B16"/>
      <c r="C16"/>
      <c r="D16"/>
      <c r="E16"/>
      <c r="F16"/>
      <c r="G16"/>
      <c r="H16"/>
      <c r="I16"/>
      <c r="J16"/>
      <c r="K16"/>
      <c r="L16"/>
    </row>
    <row r="17" spans="1:12" ht="19.5" customHeight="1" x14ac:dyDescent="0.3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3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3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3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3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3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3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3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3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3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3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3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3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3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3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3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3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3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3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3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3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3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3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3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3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3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3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3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3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3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3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3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3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3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3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3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3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3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3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3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3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3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3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3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3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3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3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3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3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3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3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3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3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3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3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3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3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3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3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3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3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3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3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3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3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3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3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3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3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3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3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3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3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3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3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3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3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3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3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3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3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3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3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3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3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3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3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3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3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3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3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3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3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3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3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3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3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3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3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3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3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3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3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3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3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3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3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3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3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3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3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3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3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3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3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3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3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3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3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3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3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3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3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3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3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3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3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3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3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3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3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3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3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3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3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3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3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3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3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3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3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3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3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3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3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3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3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3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3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3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3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3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3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3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3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3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3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3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3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3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3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3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3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3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3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3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3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3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3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3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3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3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3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3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3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3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3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3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3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3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3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3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3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3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2" type="noConversion"/>
  <conditionalFormatting sqref="J4:J13">
    <cfRule type="cellIs" dxfId="10" priority="1" operator="equal">
      <formula>"Fail"</formula>
    </cfRule>
  </conditionalFormatting>
  <dataValidations count="1">
    <dataValidation type="list" allowBlank="1" showInputMessage="1" showErrorMessage="1" sqref="J4:J13" xr:uid="{2E4F4A08-0C38-4E5C-AA1D-A1EAF6904411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9CFE-BAE2-4434-84BA-84C3A1BC49B1}">
  <dimension ref="A1:L200"/>
  <sheetViews>
    <sheetView topLeftCell="C1" zoomScaleNormal="100" workbookViewId="0">
      <pane ySplit="3" topLeftCell="A7" activePane="bottomLeft" state="frozen"/>
      <selection activeCell="M7" sqref="M7"/>
      <selection pane="bottomLeft" activeCell="T7" sqref="T7"/>
    </sheetView>
  </sheetViews>
  <sheetFormatPr defaultColWidth="8.7109375" defaultRowHeight="16.5" x14ac:dyDescent="0.3"/>
  <cols>
    <col min="1" max="1" width="9.42578125" style="14" customWidth="1"/>
    <col min="2" max="2" width="22" style="14" customWidth="1"/>
    <col min="3" max="3" width="32.42578125" style="14" customWidth="1"/>
    <col min="4" max="4" width="14" style="14" customWidth="1"/>
    <col min="5" max="5" width="42" style="14" customWidth="1"/>
    <col min="6" max="6" width="35.7109375" style="14" customWidth="1"/>
    <col min="7" max="7" width="40.28515625" style="14" customWidth="1"/>
    <col min="8" max="8" width="51.140625" style="14" customWidth="1"/>
    <col min="9" max="9" width="25.85546875" style="14" customWidth="1"/>
    <col min="10" max="10" width="9.85546875" style="14" bestFit="1" customWidth="1"/>
    <col min="11" max="11" width="7.42578125" style="14" bestFit="1" customWidth="1"/>
    <col min="12" max="12" width="21.5703125" style="14" customWidth="1"/>
    <col min="13" max="13" width="8.7109375" style="14" customWidth="1"/>
    <col min="14" max="16384" width="8.7109375" style="14"/>
  </cols>
  <sheetData>
    <row r="1" spans="1:12" ht="36" customHeight="1" x14ac:dyDescent="0.3">
      <c r="A1" s="72" t="s">
        <v>41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21.75" customHeight="1" x14ac:dyDescent="0.3">
      <c r="A2" s="5" t="s">
        <v>1</v>
      </c>
      <c r="B2" s="27" t="s">
        <v>55</v>
      </c>
      <c r="D2" s="5" t="s">
        <v>2</v>
      </c>
      <c r="E2" s="27" t="s">
        <v>57</v>
      </c>
      <c r="G2" s="5" t="s">
        <v>27</v>
      </c>
      <c r="H2" s="27" t="s">
        <v>58</v>
      </c>
      <c r="J2" s="5" t="s">
        <v>28</v>
      </c>
      <c r="K2" s="27" t="s">
        <v>59</v>
      </c>
    </row>
    <row r="3" spans="1:12" ht="30" customHeight="1" x14ac:dyDescent="0.3">
      <c r="A3" s="6" t="s">
        <v>42</v>
      </c>
      <c r="B3" s="6" t="s">
        <v>43</v>
      </c>
      <c r="C3" s="6" t="s">
        <v>44</v>
      </c>
      <c r="D3" s="6" t="s">
        <v>45</v>
      </c>
      <c r="E3" s="6" t="s">
        <v>46</v>
      </c>
      <c r="F3" s="6" t="s">
        <v>47</v>
      </c>
      <c r="G3" s="6" t="s">
        <v>48</v>
      </c>
      <c r="H3" s="6" t="s">
        <v>49</v>
      </c>
      <c r="I3" s="6" t="s">
        <v>50</v>
      </c>
      <c r="J3" s="6" t="s">
        <v>51</v>
      </c>
      <c r="K3" s="6" t="s">
        <v>7</v>
      </c>
      <c r="L3" s="6" t="s">
        <v>39</v>
      </c>
    </row>
    <row r="4" spans="1:12" ht="24" x14ac:dyDescent="0.3">
      <c r="A4" s="2">
        <v>1</v>
      </c>
      <c r="B4" s="28" t="s">
        <v>168</v>
      </c>
      <c r="C4" s="28" t="s">
        <v>169</v>
      </c>
      <c r="D4" s="28" t="s">
        <v>170</v>
      </c>
      <c r="E4" s="28" t="s">
        <v>171</v>
      </c>
      <c r="F4" s="28" t="s">
        <v>96</v>
      </c>
      <c r="G4" s="29" t="s">
        <v>172</v>
      </c>
      <c r="H4" s="28" t="s">
        <v>173</v>
      </c>
      <c r="I4" s="2"/>
      <c r="J4" s="2"/>
      <c r="K4" s="2"/>
      <c r="L4" s="28" t="s">
        <v>99</v>
      </c>
    </row>
    <row r="5" spans="1:12" ht="24" x14ac:dyDescent="0.3">
      <c r="A5" s="2">
        <v>2</v>
      </c>
      <c r="B5" s="28" t="s">
        <v>168</v>
      </c>
      <c r="C5" s="28" t="s">
        <v>174</v>
      </c>
      <c r="D5" s="28" t="s">
        <v>175</v>
      </c>
      <c r="E5" s="28" t="s">
        <v>176</v>
      </c>
      <c r="F5" s="28" t="s">
        <v>96</v>
      </c>
      <c r="G5" s="29" t="s">
        <v>177</v>
      </c>
      <c r="H5" s="28" t="s">
        <v>178</v>
      </c>
      <c r="I5" s="2"/>
      <c r="J5" s="2"/>
      <c r="K5" s="2"/>
      <c r="L5" s="28" t="s">
        <v>179</v>
      </c>
    </row>
    <row r="6" spans="1:12" ht="24" x14ac:dyDescent="0.3">
      <c r="A6" s="2">
        <v>3</v>
      </c>
      <c r="B6" s="28" t="s">
        <v>168</v>
      </c>
      <c r="C6" s="28" t="s">
        <v>180</v>
      </c>
      <c r="D6" s="28" t="s">
        <v>181</v>
      </c>
      <c r="E6" s="28" t="s">
        <v>182</v>
      </c>
      <c r="F6" s="28" t="s">
        <v>96</v>
      </c>
      <c r="G6" s="29" t="s">
        <v>183</v>
      </c>
      <c r="H6" s="28" t="s">
        <v>184</v>
      </c>
      <c r="I6" s="2"/>
      <c r="J6" s="2"/>
      <c r="K6" s="2"/>
      <c r="L6" s="2"/>
    </row>
    <row r="7" spans="1:12" ht="36" x14ac:dyDescent="0.3">
      <c r="A7" s="2">
        <v>4</v>
      </c>
      <c r="B7" s="28" t="s">
        <v>185</v>
      </c>
      <c r="C7" s="28" t="s">
        <v>186</v>
      </c>
      <c r="D7" s="28" t="s">
        <v>187</v>
      </c>
      <c r="E7" s="28" t="s">
        <v>188</v>
      </c>
      <c r="F7" s="28" t="s">
        <v>96</v>
      </c>
      <c r="G7" s="29" t="s">
        <v>189</v>
      </c>
      <c r="H7" s="28" t="s">
        <v>190</v>
      </c>
      <c r="I7" s="28" t="s">
        <v>115</v>
      </c>
      <c r="J7" s="28" t="s">
        <v>52</v>
      </c>
      <c r="K7" s="28" t="s">
        <v>59</v>
      </c>
      <c r="L7" s="28" t="s">
        <v>99</v>
      </c>
    </row>
    <row r="8" spans="1:12" ht="24" x14ac:dyDescent="0.3">
      <c r="A8" s="2">
        <v>5</v>
      </c>
      <c r="B8" s="28" t="s">
        <v>185</v>
      </c>
      <c r="C8" s="28" t="s">
        <v>191</v>
      </c>
      <c r="D8" s="28" t="s">
        <v>192</v>
      </c>
      <c r="E8" s="28" t="s">
        <v>193</v>
      </c>
      <c r="F8" s="28" t="s">
        <v>194</v>
      </c>
      <c r="G8" s="29" t="s">
        <v>195</v>
      </c>
      <c r="H8" s="28" t="s">
        <v>196</v>
      </c>
      <c r="I8" s="2"/>
      <c r="J8" s="2"/>
      <c r="K8" s="2"/>
      <c r="L8" s="28" t="s">
        <v>197</v>
      </c>
    </row>
    <row r="9" spans="1:12" ht="62.45" customHeight="1" x14ac:dyDescent="0.3">
      <c r="A9"/>
      <c r="B9"/>
      <c r="C9"/>
      <c r="D9"/>
      <c r="E9"/>
      <c r="F9"/>
      <c r="G9"/>
      <c r="H9"/>
      <c r="I9"/>
      <c r="J9"/>
      <c r="K9"/>
      <c r="L9"/>
    </row>
    <row r="10" spans="1:12" ht="51.75" customHeight="1" x14ac:dyDescent="0.3">
      <c r="A10"/>
      <c r="B10"/>
      <c r="C10"/>
      <c r="D10"/>
      <c r="E10"/>
      <c r="F10"/>
      <c r="G10"/>
      <c r="H10"/>
      <c r="I10"/>
      <c r="J10"/>
      <c r="K10"/>
      <c r="L10"/>
    </row>
    <row r="11" spans="1:12" ht="51.75" customHeight="1" x14ac:dyDescent="0.3">
      <c r="A11"/>
      <c r="B11"/>
      <c r="C11"/>
      <c r="D11"/>
      <c r="E11"/>
      <c r="F11"/>
      <c r="G11"/>
      <c r="H11"/>
      <c r="I11"/>
      <c r="J11"/>
      <c r="K11"/>
      <c r="L11"/>
    </row>
    <row r="12" spans="1:12" ht="51.75" customHeight="1" x14ac:dyDescent="0.3">
      <c r="A12"/>
      <c r="B12"/>
      <c r="C12"/>
      <c r="D12"/>
      <c r="E12"/>
      <c r="F12"/>
      <c r="G12"/>
      <c r="H12"/>
      <c r="I12"/>
      <c r="J12"/>
      <c r="K12"/>
      <c r="L12"/>
    </row>
    <row r="13" spans="1:12" ht="51.75" customHeight="1" x14ac:dyDescent="0.3">
      <c r="A13"/>
      <c r="B13"/>
      <c r="C13"/>
      <c r="D13"/>
      <c r="E13"/>
      <c r="F13"/>
      <c r="G13"/>
      <c r="H13"/>
      <c r="I13"/>
      <c r="J13"/>
      <c r="K13"/>
      <c r="L13"/>
    </row>
    <row r="14" spans="1:12" ht="51.75" customHeight="1" x14ac:dyDescent="0.3">
      <c r="A14"/>
      <c r="B14"/>
      <c r="C14"/>
      <c r="D14"/>
      <c r="E14"/>
      <c r="F14"/>
      <c r="G14"/>
      <c r="H14"/>
      <c r="I14"/>
      <c r="J14"/>
      <c r="K14"/>
      <c r="L14"/>
    </row>
    <row r="15" spans="1:12" ht="51.75" customHeight="1" x14ac:dyDescent="0.3">
      <c r="A15"/>
      <c r="B15"/>
      <c r="C15"/>
      <c r="D15"/>
      <c r="E15"/>
      <c r="F15"/>
      <c r="G15"/>
      <c r="H15"/>
      <c r="I15"/>
      <c r="J15"/>
      <c r="K15"/>
      <c r="L15"/>
    </row>
    <row r="16" spans="1:12" ht="76.5" customHeight="1" x14ac:dyDescent="0.3">
      <c r="A16"/>
      <c r="B16"/>
      <c r="C16"/>
      <c r="D16"/>
      <c r="E16"/>
      <c r="F16"/>
      <c r="G16"/>
      <c r="H16"/>
      <c r="I16"/>
      <c r="J16"/>
      <c r="K16"/>
      <c r="L16"/>
    </row>
    <row r="17" spans="1:12" ht="19.5" customHeight="1" x14ac:dyDescent="0.3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3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3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3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3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3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3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3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3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3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3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3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3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3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3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3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3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3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3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3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3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3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3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3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3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3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3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3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3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3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3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3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3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3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3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3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3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3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3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3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3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3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3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3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3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3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3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3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3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3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3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3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3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3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3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3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3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3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3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3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3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3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3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3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3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3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3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3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3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3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3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3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3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3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3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3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3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3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3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3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3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3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3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3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3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3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3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3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3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3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3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3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3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3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3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3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3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3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3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3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3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3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3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3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3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3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3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3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3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3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3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3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3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3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3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3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3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3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3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3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3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3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3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3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3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3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3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3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3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3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3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3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3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3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3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3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3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3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3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3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3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3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3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3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3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3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3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3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3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3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3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3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3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3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3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3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3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3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3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3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3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3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3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3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3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3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3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3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3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3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3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3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3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3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3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3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3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3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3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3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3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3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3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3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2" type="noConversion"/>
  <conditionalFormatting sqref="J4:J8">
    <cfRule type="cellIs" dxfId="9" priority="1" operator="equal">
      <formula>"Fail"</formula>
    </cfRule>
  </conditionalFormatting>
  <dataValidations count="1">
    <dataValidation type="list" allowBlank="1" showInputMessage="1" showErrorMessage="1" sqref="J4:J8" xr:uid="{86006A5E-B5F3-47EB-A2C3-BC2557AF33F8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14127-3D36-45FA-B6C2-6B061BA51FD3}">
  <dimension ref="A1:L200"/>
  <sheetViews>
    <sheetView topLeftCell="C1" zoomScaleNormal="100" workbookViewId="0">
      <pane ySplit="3" topLeftCell="A7" activePane="bottomLeft" state="frozen"/>
      <selection activeCell="M7" sqref="M7"/>
      <selection pane="bottomLeft" activeCell="T7" sqref="T7"/>
    </sheetView>
  </sheetViews>
  <sheetFormatPr defaultColWidth="8.7109375" defaultRowHeight="16.5" x14ac:dyDescent="0.3"/>
  <cols>
    <col min="1" max="1" width="9.42578125" style="14" customWidth="1"/>
    <col min="2" max="2" width="22" style="14" customWidth="1"/>
    <col min="3" max="3" width="32.42578125" style="14" customWidth="1"/>
    <col min="4" max="4" width="14" style="14" customWidth="1"/>
    <col min="5" max="5" width="42" style="14" customWidth="1"/>
    <col min="6" max="6" width="35.7109375" style="14" customWidth="1"/>
    <col min="7" max="7" width="40.28515625" style="14" customWidth="1"/>
    <col min="8" max="8" width="51.140625" style="14" customWidth="1"/>
    <col min="9" max="9" width="25.85546875" style="14" customWidth="1"/>
    <col min="10" max="10" width="9.85546875" style="14" bestFit="1" customWidth="1"/>
    <col min="11" max="11" width="7.42578125" style="14" bestFit="1" customWidth="1"/>
    <col min="12" max="12" width="21.5703125" style="14" customWidth="1"/>
    <col min="13" max="13" width="8.7109375" style="14" customWidth="1"/>
    <col min="14" max="16384" width="8.7109375" style="14"/>
  </cols>
  <sheetData>
    <row r="1" spans="1:12" ht="36" customHeight="1" x14ac:dyDescent="0.3">
      <c r="A1" s="72" t="s">
        <v>41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21.75" customHeight="1" x14ac:dyDescent="0.3">
      <c r="A2" s="5" t="s">
        <v>1</v>
      </c>
      <c r="B2" s="27" t="s">
        <v>55</v>
      </c>
      <c r="D2" s="5" t="s">
        <v>2</v>
      </c>
      <c r="E2" s="27" t="s">
        <v>57</v>
      </c>
      <c r="G2" s="5" t="s">
        <v>27</v>
      </c>
      <c r="H2" s="27" t="s">
        <v>58</v>
      </c>
      <c r="J2" s="5" t="s">
        <v>28</v>
      </c>
      <c r="K2" s="27" t="s">
        <v>59</v>
      </c>
    </row>
    <row r="3" spans="1:12" ht="30" customHeight="1" x14ac:dyDescent="0.3">
      <c r="A3" s="6" t="s">
        <v>42</v>
      </c>
      <c r="B3" s="6" t="s">
        <v>43</v>
      </c>
      <c r="C3" s="6" t="s">
        <v>44</v>
      </c>
      <c r="D3" s="6" t="s">
        <v>45</v>
      </c>
      <c r="E3" s="6" t="s">
        <v>46</v>
      </c>
      <c r="F3" s="6" t="s">
        <v>47</v>
      </c>
      <c r="G3" s="6" t="s">
        <v>48</v>
      </c>
      <c r="H3" s="6" t="s">
        <v>49</v>
      </c>
      <c r="I3" s="6" t="s">
        <v>50</v>
      </c>
      <c r="J3" s="6" t="s">
        <v>51</v>
      </c>
      <c r="K3" s="6" t="s">
        <v>7</v>
      </c>
      <c r="L3" s="6" t="s">
        <v>39</v>
      </c>
    </row>
    <row r="4" spans="1:12" ht="24" x14ac:dyDescent="0.3">
      <c r="A4" s="2">
        <v>1</v>
      </c>
      <c r="B4" s="28" t="s">
        <v>198</v>
      </c>
      <c r="C4" s="28" t="s">
        <v>199</v>
      </c>
      <c r="D4" s="28" t="s">
        <v>200</v>
      </c>
      <c r="E4" s="28" t="s">
        <v>201</v>
      </c>
      <c r="F4" s="28" t="s">
        <v>96</v>
      </c>
      <c r="G4" s="29" t="s">
        <v>202</v>
      </c>
      <c r="H4" s="28" t="s">
        <v>203</v>
      </c>
      <c r="I4" s="2"/>
      <c r="J4" s="2"/>
      <c r="K4" s="2"/>
      <c r="L4" s="28" t="s">
        <v>204</v>
      </c>
    </row>
    <row r="5" spans="1:12" ht="24" x14ac:dyDescent="0.3">
      <c r="A5" s="2">
        <v>2</v>
      </c>
      <c r="B5" s="28" t="s">
        <v>198</v>
      </c>
      <c r="C5" s="28" t="s">
        <v>205</v>
      </c>
      <c r="D5" s="28" t="s">
        <v>206</v>
      </c>
      <c r="E5" s="28" t="s">
        <v>207</v>
      </c>
      <c r="F5" s="28" t="s">
        <v>96</v>
      </c>
      <c r="G5" s="29" t="s">
        <v>208</v>
      </c>
      <c r="H5" s="28" t="s">
        <v>209</v>
      </c>
      <c r="I5" s="2"/>
      <c r="J5" s="2"/>
      <c r="K5" s="2"/>
      <c r="L5" s="28" t="s">
        <v>204</v>
      </c>
    </row>
    <row r="6" spans="1:12" ht="24" x14ac:dyDescent="0.3">
      <c r="A6" s="2">
        <v>3</v>
      </c>
      <c r="B6" s="28" t="s">
        <v>198</v>
      </c>
      <c r="C6" s="28" t="s">
        <v>210</v>
      </c>
      <c r="D6" s="28" t="s">
        <v>211</v>
      </c>
      <c r="E6" s="28" t="s">
        <v>212</v>
      </c>
      <c r="F6" s="28" t="s">
        <v>96</v>
      </c>
      <c r="G6" s="29" t="s">
        <v>213</v>
      </c>
      <c r="H6" s="28" t="s">
        <v>214</v>
      </c>
      <c r="I6" s="2"/>
      <c r="J6" s="2"/>
      <c r="K6" s="2"/>
      <c r="L6" s="28" t="s">
        <v>204</v>
      </c>
    </row>
    <row r="7" spans="1:12" ht="24" x14ac:dyDescent="0.3">
      <c r="A7" s="2">
        <v>4</v>
      </c>
      <c r="B7" s="28" t="s">
        <v>215</v>
      </c>
      <c r="C7" s="28" t="s">
        <v>216</v>
      </c>
      <c r="D7" s="28" t="s">
        <v>217</v>
      </c>
      <c r="E7" s="28" t="s">
        <v>218</v>
      </c>
      <c r="F7" s="28" t="s">
        <v>219</v>
      </c>
      <c r="G7" s="29" t="s">
        <v>220</v>
      </c>
      <c r="H7" s="28" t="s">
        <v>221</v>
      </c>
      <c r="I7" s="2"/>
      <c r="J7" s="2"/>
      <c r="K7" s="2"/>
      <c r="L7" s="28" t="s">
        <v>222</v>
      </c>
    </row>
    <row r="8" spans="1:12" x14ac:dyDescent="0.3">
      <c r="A8" s="2">
        <v>5</v>
      </c>
      <c r="B8" s="28" t="s">
        <v>215</v>
      </c>
      <c r="C8" s="28" t="s">
        <v>223</v>
      </c>
      <c r="D8" s="28" t="s">
        <v>224</v>
      </c>
      <c r="E8" s="28" t="s">
        <v>225</v>
      </c>
      <c r="F8" s="28" t="s">
        <v>96</v>
      </c>
      <c r="G8" s="29" t="s">
        <v>226</v>
      </c>
      <c r="H8" s="28" t="s">
        <v>227</v>
      </c>
      <c r="I8" s="2"/>
      <c r="J8" s="2"/>
      <c r="K8" s="2"/>
      <c r="L8" s="2"/>
    </row>
    <row r="9" spans="1:12" ht="24" x14ac:dyDescent="0.3">
      <c r="A9" s="2">
        <v>6</v>
      </c>
      <c r="B9" s="28" t="s">
        <v>228</v>
      </c>
      <c r="C9" s="28" t="s">
        <v>229</v>
      </c>
      <c r="D9" s="28" t="s">
        <v>230</v>
      </c>
      <c r="E9" s="28" t="s">
        <v>231</v>
      </c>
      <c r="F9" s="28" t="s">
        <v>232</v>
      </c>
      <c r="G9" s="29" t="s">
        <v>233</v>
      </c>
      <c r="H9" s="28" t="s">
        <v>234</v>
      </c>
      <c r="I9" s="2"/>
      <c r="J9" s="2"/>
      <c r="K9" s="2"/>
      <c r="L9" s="28" t="s">
        <v>235</v>
      </c>
    </row>
    <row r="10" spans="1:12" ht="24" x14ac:dyDescent="0.3">
      <c r="A10" s="2">
        <v>7</v>
      </c>
      <c r="B10" s="28" t="s">
        <v>236</v>
      </c>
      <c r="C10" s="28" t="s">
        <v>237</v>
      </c>
      <c r="D10" s="28" t="s">
        <v>238</v>
      </c>
      <c r="E10" s="28" t="s">
        <v>239</v>
      </c>
      <c r="F10" s="28" t="s">
        <v>96</v>
      </c>
      <c r="G10" s="29" t="s">
        <v>240</v>
      </c>
      <c r="H10" s="28" t="s">
        <v>241</v>
      </c>
      <c r="I10" s="2"/>
      <c r="J10" s="2"/>
      <c r="K10" s="2"/>
      <c r="L10" s="2"/>
    </row>
    <row r="11" spans="1:12" ht="51.75" customHeight="1" x14ac:dyDescent="0.3">
      <c r="A11"/>
      <c r="B11"/>
      <c r="C11"/>
      <c r="D11"/>
      <c r="E11"/>
      <c r="F11"/>
      <c r="G11"/>
      <c r="H11"/>
      <c r="I11"/>
      <c r="J11"/>
      <c r="K11"/>
      <c r="L11"/>
    </row>
    <row r="12" spans="1:12" ht="51.75" customHeight="1" x14ac:dyDescent="0.3">
      <c r="A12"/>
      <c r="B12"/>
      <c r="C12"/>
      <c r="D12"/>
      <c r="E12"/>
      <c r="F12"/>
      <c r="G12"/>
      <c r="H12"/>
      <c r="I12"/>
      <c r="J12"/>
      <c r="K12"/>
      <c r="L12"/>
    </row>
    <row r="13" spans="1:12" ht="51.75" customHeight="1" x14ac:dyDescent="0.3">
      <c r="A13"/>
      <c r="B13"/>
      <c r="C13"/>
      <c r="D13"/>
      <c r="E13"/>
      <c r="F13"/>
      <c r="G13"/>
      <c r="H13"/>
      <c r="I13"/>
      <c r="J13"/>
      <c r="K13"/>
      <c r="L13"/>
    </row>
    <row r="14" spans="1:12" ht="51.75" customHeight="1" x14ac:dyDescent="0.3">
      <c r="A14"/>
      <c r="B14"/>
      <c r="C14"/>
      <c r="D14"/>
      <c r="E14"/>
      <c r="F14"/>
      <c r="G14"/>
      <c r="H14"/>
      <c r="I14"/>
      <c r="J14"/>
      <c r="K14"/>
      <c r="L14"/>
    </row>
    <row r="15" spans="1:12" ht="51.75" customHeight="1" x14ac:dyDescent="0.3">
      <c r="A15"/>
      <c r="B15"/>
      <c r="C15"/>
      <c r="D15"/>
      <c r="E15"/>
      <c r="F15"/>
      <c r="G15"/>
      <c r="H15"/>
      <c r="I15"/>
      <c r="J15"/>
      <c r="K15"/>
      <c r="L15"/>
    </row>
    <row r="16" spans="1:12" ht="76.5" customHeight="1" x14ac:dyDescent="0.3">
      <c r="A16"/>
      <c r="B16"/>
      <c r="C16"/>
      <c r="D16"/>
      <c r="E16"/>
      <c r="F16"/>
      <c r="G16"/>
      <c r="H16"/>
      <c r="I16"/>
      <c r="J16"/>
      <c r="K16"/>
      <c r="L16"/>
    </row>
    <row r="17" spans="1:12" ht="19.5" customHeight="1" x14ac:dyDescent="0.3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3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3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3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3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3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3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3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3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3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3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3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3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3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3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3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3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3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3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3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3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3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3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3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3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3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3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3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3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3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3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3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3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3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3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3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3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3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3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3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3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3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3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3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3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3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3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3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3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3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3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3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3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3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3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3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3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3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3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3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3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3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3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3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3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3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3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3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3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3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3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3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3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3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3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3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3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3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3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3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3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3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3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3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3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3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3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3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3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3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3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3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3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3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3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3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3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3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3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3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3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3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3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3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3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3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3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3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3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3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3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3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3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3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3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3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3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3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3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3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3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3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3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3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3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3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3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3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3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3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3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3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3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3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3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3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3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3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3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3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3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3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3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3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3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3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3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3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3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3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3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3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3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3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3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3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3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3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3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3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3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3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3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3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3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3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3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3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3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3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3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3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3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3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3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3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3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3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3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3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3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3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3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3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2" type="noConversion"/>
  <conditionalFormatting sqref="J4:J10">
    <cfRule type="cellIs" dxfId="8" priority="1" operator="equal">
      <formula>"Fail"</formula>
    </cfRule>
  </conditionalFormatting>
  <dataValidations count="1">
    <dataValidation type="list" allowBlank="1" showInputMessage="1" showErrorMessage="1" sqref="J4:J10" xr:uid="{7E541744-BB67-4E71-BE5E-2784E736999B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6BA96-172F-4AB7-B732-2FD7B6799DCA}">
  <dimension ref="A1:L200"/>
  <sheetViews>
    <sheetView topLeftCell="C1" zoomScaleNormal="100" workbookViewId="0">
      <pane ySplit="3" topLeftCell="A7" activePane="bottomLeft" state="frozen"/>
      <selection activeCell="M7" sqref="M7"/>
      <selection pane="bottomLeft" activeCell="T7" sqref="T7"/>
    </sheetView>
  </sheetViews>
  <sheetFormatPr defaultColWidth="8.7109375" defaultRowHeight="16.5" x14ac:dyDescent="0.3"/>
  <cols>
    <col min="1" max="1" width="9.42578125" style="14" customWidth="1"/>
    <col min="2" max="2" width="22" style="14" customWidth="1"/>
    <col min="3" max="3" width="32.42578125" style="14" customWidth="1"/>
    <col min="4" max="4" width="14" style="14" customWidth="1"/>
    <col min="5" max="5" width="42" style="14" customWidth="1"/>
    <col min="6" max="6" width="35.7109375" style="14" customWidth="1"/>
    <col min="7" max="7" width="40.28515625" style="14" customWidth="1"/>
    <col min="8" max="8" width="51.140625" style="14" customWidth="1"/>
    <col min="9" max="9" width="25.85546875" style="14" customWidth="1"/>
    <col min="10" max="10" width="9.85546875" style="14" bestFit="1" customWidth="1"/>
    <col min="11" max="11" width="7.42578125" style="14" bestFit="1" customWidth="1"/>
    <col min="12" max="12" width="21.5703125" style="14" customWidth="1"/>
    <col min="13" max="13" width="8.7109375" style="14" customWidth="1"/>
    <col min="14" max="16384" width="8.7109375" style="14"/>
  </cols>
  <sheetData>
    <row r="1" spans="1:12" ht="36" customHeight="1" x14ac:dyDescent="0.3">
      <c r="A1" s="72" t="s">
        <v>41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21.75" customHeight="1" x14ac:dyDescent="0.3">
      <c r="A2" s="5" t="s">
        <v>1</v>
      </c>
      <c r="B2" s="27" t="s">
        <v>55</v>
      </c>
      <c r="D2" s="5" t="s">
        <v>2</v>
      </c>
      <c r="E2" s="27" t="s">
        <v>57</v>
      </c>
      <c r="G2" s="5" t="s">
        <v>27</v>
      </c>
      <c r="H2" s="27" t="s">
        <v>58</v>
      </c>
      <c r="J2" s="5" t="s">
        <v>28</v>
      </c>
      <c r="K2" s="27" t="s">
        <v>59</v>
      </c>
    </row>
    <row r="3" spans="1:12" ht="30" customHeight="1" x14ac:dyDescent="0.3">
      <c r="A3" s="6" t="s">
        <v>42</v>
      </c>
      <c r="B3" s="6" t="s">
        <v>43</v>
      </c>
      <c r="C3" s="6" t="s">
        <v>44</v>
      </c>
      <c r="D3" s="6" t="s">
        <v>45</v>
      </c>
      <c r="E3" s="6" t="s">
        <v>46</v>
      </c>
      <c r="F3" s="6" t="s">
        <v>47</v>
      </c>
      <c r="G3" s="6" t="s">
        <v>48</v>
      </c>
      <c r="H3" s="6" t="s">
        <v>49</v>
      </c>
      <c r="I3" s="6" t="s">
        <v>50</v>
      </c>
      <c r="J3" s="6" t="s">
        <v>51</v>
      </c>
      <c r="K3" s="6" t="s">
        <v>7</v>
      </c>
      <c r="L3" s="6" t="s">
        <v>39</v>
      </c>
    </row>
    <row r="4" spans="1:12" ht="48" x14ac:dyDescent="0.3">
      <c r="A4" s="2">
        <v>1</v>
      </c>
      <c r="B4" s="28" t="s">
        <v>242</v>
      </c>
      <c r="C4" s="28" t="s">
        <v>243</v>
      </c>
      <c r="D4" s="28" t="s">
        <v>244</v>
      </c>
      <c r="E4" s="28" t="s">
        <v>245</v>
      </c>
      <c r="F4" s="28" t="s">
        <v>246</v>
      </c>
      <c r="G4" s="29" t="s">
        <v>247</v>
      </c>
      <c r="H4" s="28" t="s">
        <v>248</v>
      </c>
      <c r="I4" s="28" t="s">
        <v>249</v>
      </c>
      <c r="J4" s="28" t="s">
        <v>52</v>
      </c>
      <c r="K4" s="28" t="s">
        <v>59</v>
      </c>
      <c r="L4" s="28" t="s">
        <v>76</v>
      </c>
    </row>
    <row r="5" spans="1:12" ht="24" x14ac:dyDescent="0.3">
      <c r="A5" s="2">
        <v>2</v>
      </c>
      <c r="B5" s="28" t="s">
        <v>242</v>
      </c>
      <c r="C5" s="28" t="s">
        <v>250</v>
      </c>
      <c r="D5" s="28" t="s">
        <v>251</v>
      </c>
      <c r="E5" s="28" t="s">
        <v>252</v>
      </c>
      <c r="F5" s="28" t="s">
        <v>232</v>
      </c>
      <c r="G5" s="29" t="s">
        <v>253</v>
      </c>
      <c r="H5" s="28" t="s">
        <v>254</v>
      </c>
      <c r="I5" s="28" t="s">
        <v>67</v>
      </c>
      <c r="J5" s="28" t="s">
        <v>52</v>
      </c>
      <c r="K5" s="28" t="s">
        <v>59</v>
      </c>
      <c r="L5" s="2"/>
    </row>
    <row r="6" spans="1:12" ht="24" x14ac:dyDescent="0.3">
      <c r="A6" s="2">
        <v>3</v>
      </c>
      <c r="B6" s="28" t="s">
        <v>255</v>
      </c>
      <c r="C6" s="28" t="s">
        <v>256</v>
      </c>
      <c r="D6" s="28" t="s">
        <v>257</v>
      </c>
      <c r="E6" s="28" t="s">
        <v>258</v>
      </c>
      <c r="F6" s="28" t="s">
        <v>259</v>
      </c>
      <c r="G6" s="29" t="s">
        <v>260</v>
      </c>
      <c r="H6" s="28" t="s">
        <v>261</v>
      </c>
      <c r="I6" s="28" t="s">
        <v>115</v>
      </c>
      <c r="J6" s="28" t="s">
        <v>52</v>
      </c>
      <c r="K6" s="28" t="s">
        <v>59</v>
      </c>
      <c r="L6" s="28" t="s">
        <v>262</v>
      </c>
    </row>
    <row r="7" spans="1:12" ht="24" x14ac:dyDescent="0.3">
      <c r="A7" s="2">
        <v>4</v>
      </c>
      <c r="B7" s="28" t="s">
        <v>242</v>
      </c>
      <c r="C7" s="28" t="s">
        <v>263</v>
      </c>
      <c r="D7" s="28" t="s">
        <v>264</v>
      </c>
      <c r="E7" s="28" t="s">
        <v>265</v>
      </c>
      <c r="F7" s="28" t="s">
        <v>266</v>
      </c>
      <c r="G7" s="29" t="s">
        <v>267</v>
      </c>
      <c r="H7" s="28" t="s">
        <v>268</v>
      </c>
      <c r="I7" s="28" t="s">
        <v>115</v>
      </c>
      <c r="J7" s="28" t="s">
        <v>52</v>
      </c>
      <c r="K7" s="28" t="s">
        <v>59</v>
      </c>
      <c r="L7" s="2"/>
    </row>
    <row r="8" spans="1:12" x14ac:dyDescent="0.3">
      <c r="A8" s="2">
        <v>5</v>
      </c>
      <c r="B8" s="28" t="s">
        <v>255</v>
      </c>
      <c r="C8" s="28" t="s">
        <v>269</v>
      </c>
      <c r="D8" s="28" t="s">
        <v>270</v>
      </c>
      <c r="E8" s="28" t="s">
        <v>271</v>
      </c>
      <c r="F8" s="28" t="s">
        <v>149</v>
      </c>
      <c r="G8" s="29" t="s">
        <v>272</v>
      </c>
      <c r="H8" s="28" t="s">
        <v>273</v>
      </c>
      <c r="I8" s="2"/>
      <c r="J8" s="2"/>
      <c r="K8" s="2"/>
      <c r="L8" s="28" t="s">
        <v>262</v>
      </c>
    </row>
    <row r="9" spans="1:12" ht="24" x14ac:dyDescent="0.3">
      <c r="A9" s="2">
        <v>6</v>
      </c>
      <c r="B9" s="28" t="s">
        <v>242</v>
      </c>
      <c r="C9" s="28" t="s">
        <v>274</v>
      </c>
      <c r="D9" s="28" t="s">
        <v>275</v>
      </c>
      <c r="E9" s="28" t="s">
        <v>276</v>
      </c>
      <c r="F9" s="28" t="s">
        <v>232</v>
      </c>
      <c r="G9" s="29" t="s">
        <v>277</v>
      </c>
      <c r="H9" s="28" t="s">
        <v>278</v>
      </c>
      <c r="I9" s="2"/>
      <c r="J9" s="2"/>
      <c r="K9" s="2"/>
      <c r="L9" s="2"/>
    </row>
    <row r="10" spans="1:12" ht="24" x14ac:dyDescent="0.3">
      <c r="A10" s="2">
        <v>7</v>
      </c>
      <c r="B10" s="28" t="s">
        <v>242</v>
      </c>
      <c r="C10" s="28" t="s">
        <v>279</v>
      </c>
      <c r="D10" s="28" t="s">
        <v>280</v>
      </c>
      <c r="E10" s="28" t="s">
        <v>281</v>
      </c>
      <c r="F10" s="28" t="s">
        <v>282</v>
      </c>
      <c r="G10" s="29" t="s">
        <v>283</v>
      </c>
      <c r="H10" s="28" t="s">
        <v>284</v>
      </c>
      <c r="I10" s="2"/>
      <c r="J10" s="2"/>
      <c r="K10" s="2"/>
      <c r="L10" s="2"/>
    </row>
    <row r="11" spans="1:12" ht="51.75" customHeight="1" x14ac:dyDescent="0.3">
      <c r="A11"/>
      <c r="B11"/>
      <c r="C11"/>
      <c r="D11"/>
      <c r="E11"/>
      <c r="F11"/>
      <c r="G11"/>
      <c r="H11"/>
      <c r="I11"/>
      <c r="J11"/>
      <c r="K11"/>
      <c r="L11"/>
    </row>
    <row r="12" spans="1:12" ht="51.75" customHeight="1" x14ac:dyDescent="0.3">
      <c r="A12"/>
      <c r="B12"/>
      <c r="C12"/>
      <c r="D12"/>
      <c r="E12"/>
      <c r="F12"/>
      <c r="G12"/>
      <c r="H12"/>
      <c r="I12"/>
      <c r="J12"/>
      <c r="K12"/>
      <c r="L12"/>
    </row>
    <row r="13" spans="1:12" ht="51.75" customHeight="1" x14ac:dyDescent="0.3">
      <c r="A13"/>
      <c r="B13"/>
      <c r="C13"/>
      <c r="D13"/>
      <c r="E13"/>
      <c r="F13"/>
      <c r="G13"/>
      <c r="H13"/>
      <c r="I13"/>
      <c r="J13"/>
      <c r="K13"/>
      <c r="L13"/>
    </row>
    <row r="14" spans="1:12" ht="51.75" customHeight="1" x14ac:dyDescent="0.3">
      <c r="A14"/>
      <c r="B14"/>
      <c r="C14"/>
      <c r="D14"/>
      <c r="E14"/>
      <c r="F14"/>
      <c r="G14"/>
      <c r="H14"/>
      <c r="I14"/>
      <c r="J14"/>
      <c r="K14"/>
      <c r="L14"/>
    </row>
    <row r="15" spans="1:12" ht="51.75" customHeight="1" x14ac:dyDescent="0.3">
      <c r="A15"/>
      <c r="B15"/>
      <c r="C15"/>
      <c r="D15"/>
      <c r="E15"/>
      <c r="F15"/>
      <c r="G15"/>
      <c r="H15"/>
      <c r="I15"/>
      <c r="J15"/>
      <c r="K15"/>
      <c r="L15"/>
    </row>
    <row r="16" spans="1:12" ht="76.5" customHeight="1" x14ac:dyDescent="0.3">
      <c r="A16"/>
      <c r="B16"/>
      <c r="C16"/>
      <c r="D16"/>
      <c r="E16"/>
      <c r="F16"/>
      <c r="G16"/>
      <c r="H16"/>
      <c r="I16"/>
      <c r="J16"/>
      <c r="K16"/>
      <c r="L16"/>
    </row>
    <row r="17" spans="1:12" ht="19.5" customHeight="1" x14ac:dyDescent="0.3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3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3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3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3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3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3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3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3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3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3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3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3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3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3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3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3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3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3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3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3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3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3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3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3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3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3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3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3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3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3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3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3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3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3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3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3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3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3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3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3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3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3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3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3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3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3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3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3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3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3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3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3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3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3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3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3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3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3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3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3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3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3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3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3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3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3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3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3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3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3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3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3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3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3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3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3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3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3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3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3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3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3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3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3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3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3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3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3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3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3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3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3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3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3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3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3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3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3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3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3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3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3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3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3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3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3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3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3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3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3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3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3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3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3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3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3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3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3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3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3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3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3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3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3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3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3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3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3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3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3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3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3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3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3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3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3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3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3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3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3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3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3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3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3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3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3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3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3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3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3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3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3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3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3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3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3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3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3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3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3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3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3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3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3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3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3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3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3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3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3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3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3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3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3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3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3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3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3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3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3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3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3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3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2" type="noConversion"/>
  <conditionalFormatting sqref="J4:J10">
    <cfRule type="cellIs" dxfId="7" priority="1" operator="equal">
      <formula>"Fail"</formula>
    </cfRule>
  </conditionalFormatting>
  <dataValidations count="1">
    <dataValidation type="list" allowBlank="1" showInputMessage="1" showErrorMessage="1" sqref="J4:J10" xr:uid="{A4949D7B-C302-4CC2-8912-0127B012BC10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72304-9F4A-4D38-ACDC-DAA767E4C9F2}">
  <dimension ref="A1:L200"/>
  <sheetViews>
    <sheetView topLeftCell="C1" zoomScaleNormal="100" workbookViewId="0">
      <pane ySplit="3" topLeftCell="A7" activePane="bottomLeft" state="frozen"/>
      <selection activeCell="M7" sqref="M7"/>
      <selection pane="bottomLeft" activeCell="T7" sqref="T7"/>
    </sheetView>
  </sheetViews>
  <sheetFormatPr defaultColWidth="8.7109375" defaultRowHeight="16.5" x14ac:dyDescent="0.3"/>
  <cols>
    <col min="1" max="1" width="9.42578125" style="14" customWidth="1"/>
    <col min="2" max="2" width="22" style="14" customWidth="1"/>
    <col min="3" max="3" width="32.42578125" style="14" customWidth="1"/>
    <col min="4" max="4" width="14" style="14" customWidth="1"/>
    <col min="5" max="5" width="42" style="14" customWidth="1"/>
    <col min="6" max="6" width="35.7109375" style="14" customWidth="1"/>
    <col min="7" max="7" width="40.28515625" style="14" customWidth="1"/>
    <col min="8" max="8" width="51.140625" style="14" customWidth="1"/>
    <col min="9" max="9" width="25.85546875" style="14" customWidth="1"/>
    <col min="10" max="10" width="9.85546875" style="14" bestFit="1" customWidth="1"/>
    <col min="11" max="11" width="7.42578125" style="14" bestFit="1" customWidth="1"/>
    <col min="12" max="12" width="21.5703125" style="14" customWidth="1"/>
    <col min="13" max="13" width="8.7109375" style="14" customWidth="1"/>
    <col min="14" max="16384" width="8.7109375" style="14"/>
  </cols>
  <sheetData>
    <row r="1" spans="1:12" ht="36" customHeight="1" x14ac:dyDescent="0.3">
      <c r="A1" s="72" t="s">
        <v>41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21.75" customHeight="1" x14ac:dyDescent="0.3">
      <c r="A2" s="5" t="s">
        <v>1</v>
      </c>
      <c r="B2" s="27" t="s">
        <v>55</v>
      </c>
      <c r="D2" s="5" t="s">
        <v>2</v>
      </c>
      <c r="E2" s="27" t="s">
        <v>57</v>
      </c>
      <c r="G2" s="5" t="s">
        <v>27</v>
      </c>
      <c r="H2" s="27" t="s">
        <v>58</v>
      </c>
      <c r="J2" s="5" t="s">
        <v>28</v>
      </c>
      <c r="K2" s="27" t="s">
        <v>59</v>
      </c>
    </row>
    <row r="3" spans="1:12" ht="30" customHeight="1" x14ac:dyDescent="0.3">
      <c r="A3" s="6" t="s">
        <v>42</v>
      </c>
      <c r="B3" s="6" t="s">
        <v>43</v>
      </c>
      <c r="C3" s="6" t="s">
        <v>44</v>
      </c>
      <c r="D3" s="6" t="s">
        <v>45</v>
      </c>
      <c r="E3" s="6" t="s">
        <v>46</v>
      </c>
      <c r="F3" s="6" t="s">
        <v>47</v>
      </c>
      <c r="G3" s="6" t="s">
        <v>48</v>
      </c>
      <c r="H3" s="6" t="s">
        <v>49</v>
      </c>
      <c r="I3" s="6" t="s">
        <v>50</v>
      </c>
      <c r="J3" s="6" t="s">
        <v>51</v>
      </c>
      <c r="K3" s="6" t="s">
        <v>7</v>
      </c>
      <c r="L3" s="6" t="s">
        <v>39</v>
      </c>
    </row>
    <row r="4" spans="1:12" ht="36" x14ac:dyDescent="0.3">
      <c r="A4" s="2">
        <v>1</v>
      </c>
      <c r="B4" s="28" t="s">
        <v>285</v>
      </c>
      <c r="C4" s="28" t="s">
        <v>286</v>
      </c>
      <c r="D4" s="28" t="s">
        <v>287</v>
      </c>
      <c r="E4" s="28" t="s">
        <v>288</v>
      </c>
      <c r="F4" s="28" t="s">
        <v>289</v>
      </c>
      <c r="G4" s="29" t="s">
        <v>290</v>
      </c>
      <c r="H4" s="28" t="s">
        <v>291</v>
      </c>
      <c r="I4" s="28" t="s">
        <v>115</v>
      </c>
      <c r="J4" s="28" t="s">
        <v>52</v>
      </c>
      <c r="K4" s="28" t="s">
        <v>59</v>
      </c>
      <c r="L4" s="28" t="s">
        <v>292</v>
      </c>
    </row>
    <row r="5" spans="1:12" ht="24" x14ac:dyDescent="0.3">
      <c r="A5" s="2">
        <v>2</v>
      </c>
      <c r="B5" s="28" t="s">
        <v>285</v>
      </c>
      <c r="C5" s="28" t="s">
        <v>293</v>
      </c>
      <c r="D5" s="28" t="s">
        <v>294</v>
      </c>
      <c r="E5" s="28" t="s">
        <v>295</v>
      </c>
      <c r="F5" s="28" t="s">
        <v>296</v>
      </c>
      <c r="G5" s="29" t="s">
        <v>297</v>
      </c>
      <c r="H5" s="28" t="s">
        <v>298</v>
      </c>
      <c r="I5" s="28" t="s">
        <v>115</v>
      </c>
      <c r="J5" s="28" t="s">
        <v>52</v>
      </c>
      <c r="K5" s="28" t="s">
        <v>59</v>
      </c>
      <c r="L5" s="28" t="s">
        <v>299</v>
      </c>
    </row>
    <row r="6" spans="1:12" ht="24" x14ac:dyDescent="0.3">
      <c r="A6" s="2">
        <v>3</v>
      </c>
      <c r="B6" s="28" t="s">
        <v>285</v>
      </c>
      <c r="C6" s="28" t="s">
        <v>300</v>
      </c>
      <c r="D6" s="28" t="s">
        <v>301</v>
      </c>
      <c r="E6" s="28" t="s">
        <v>302</v>
      </c>
      <c r="F6" s="28" t="s">
        <v>303</v>
      </c>
      <c r="G6" s="29" t="s">
        <v>304</v>
      </c>
      <c r="H6" s="28" t="s">
        <v>305</v>
      </c>
      <c r="I6" s="28" t="s">
        <v>115</v>
      </c>
      <c r="J6" s="28" t="s">
        <v>52</v>
      </c>
      <c r="K6" s="28" t="s">
        <v>59</v>
      </c>
      <c r="L6" s="28" t="s">
        <v>306</v>
      </c>
    </row>
    <row r="7" spans="1:12" ht="24" x14ac:dyDescent="0.3">
      <c r="A7" s="2">
        <v>4</v>
      </c>
      <c r="B7" s="28" t="s">
        <v>285</v>
      </c>
      <c r="C7" s="28" t="s">
        <v>307</v>
      </c>
      <c r="D7" s="28" t="s">
        <v>308</v>
      </c>
      <c r="E7" s="28" t="s">
        <v>309</v>
      </c>
      <c r="F7" s="28" t="s">
        <v>310</v>
      </c>
      <c r="G7" s="29" t="s">
        <v>304</v>
      </c>
      <c r="H7" s="28" t="s">
        <v>311</v>
      </c>
      <c r="I7" s="28" t="s">
        <v>115</v>
      </c>
      <c r="J7" s="28" t="s">
        <v>52</v>
      </c>
      <c r="K7" s="28" t="s">
        <v>59</v>
      </c>
      <c r="L7" s="28" t="s">
        <v>312</v>
      </c>
    </row>
    <row r="8" spans="1:12" ht="24" x14ac:dyDescent="0.3">
      <c r="A8" s="2">
        <v>5</v>
      </c>
      <c r="B8" s="28" t="s">
        <v>285</v>
      </c>
      <c r="C8" s="28" t="s">
        <v>313</v>
      </c>
      <c r="D8" s="28" t="s">
        <v>314</v>
      </c>
      <c r="E8" s="28" t="s">
        <v>315</v>
      </c>
      <c r="F8" s="28" t="s">
        <v>316</v>
      </c>
      <c r="G8" s="29" t="s">
        <v>317</v>
      </c>
      <c r="H8" s="28" t="s">
        <v>318</v>
      </c>
      <c r="I8" s="2"/>
      <c r="J8" s="2"/>
      <c r="K8" s="2"/>
      <c r="L8" s="2"/>
    </row>
    <row r="9" spans="1:12" ht="36" x14ac:dyDescent="0.3">
      <c r="A9" s="2">
        <v>6</v>
      </c>
      <c r="B9" s="28" t="s">
        <v>285</v>
      </c>
      <c r="C9" s="28" t="s">
        <v>319</v>
      </c>
      <c r="D9" s="28" t="s">
        <v>320</v>
      </c>
      <c r="E9" s="28" t="s">
        <v>321</v>
      </c>
      <c r="F9" s="28" t="s">
        <v>322</v>
      </c>
      <c r="G9" s="29" t="s">
        <v>323</v>
      </c>
      <c r="H9" s="28" t="s">
        <v>324</v>
      </c>
      <c r="I9" s="2"/>
      <c r="J9" s="2"/>
      <c r="K9" s="2"/>
      <c r="L9" s="28" t="s">
        <v>325</v>
      </c>
    </row>
    <row r="10" spans="1:12" ht="24" x14ac:dyDescent="0.3">
      <c r="A10" s="2">
        <v>7</v>
      </c>
      <c r="B10" s="28" t="s">
        <v>285</v>
      </c>
      <c r="C10" s="28" t="s">
        <v>326</v>
      </c>
      <c r="D10" s="28" t="s">
        <v>327</v>
      </c>
      <c r="E10" s="28" t="s">
        <v>328</v>
      </c>
      <c r="F10" s="28" t="s">
        <v>329</v>
      </c>
      <c r="G10" s="29" t="s">
        <v>330</v>
      </c>
      <c r="H10" s="28" t="s">
        <v>331</v>
      </c>
      <c r="I10" s="2"/>
      <c r="J10" s="2"/>
      <c r="K10" s="2"/>
      <c r="L10" s="28" t="s">
        <v>292</v>
      </c>
    </row>
    <row r="11" spans="1:12" ht="24" x14ac:dyDescent="0.3">
      <c r="A11" s="2">
        <v>8</v>
      </c>
      <c r="B11" s="28" t="s">
        <v>285</v>
      </c>
      <c r="C11" s="28" t="s">
        <v>332</v>
      </c>
      <c r="D11" s="28" t="s">
        <v>333</v>
      </c>
      <c r="E11" s="28" t="s">
        <v>334</v>
      </c>
      <c r="F11" s="28" t="s">
        <v>335</v>
      </c>
      <c r="G11" s="29" t="s">
        <v>336</v>
      </c>
      <c r="H11" s="28" t="s">
        <v>337</v>
      </c>
      <c r="I11" s="2"/>
      <c r="J11" s="2"/>
      <c r="K11" s="2"/>
      <c r="L11" s="28" t="s">
        <v>338</v>
      </c>
    </row>
    <row r="12" spans="1:12" ht="36" x14ac:dyDescent="0.3">
      <c r="A12" s="2">
        <v>9</v>
      </c>
      <c r="B12" s="28" t="s">
        <v>285</v>
      </c>
      <c r="C12" s="28" t="s">
        <v>339</v>
      </c>
      <c r="D12" s="28" t="s">
        <v>340</v>
      </c>
      <c r="E12" s="28" t="s">
        <v>341</v>
      </c>
      <c r="F12" s="28" t="s">
        <v>342</v>
      </c>
      <c r="G12" s="29" t="s">
        <v>343</v>
      </c>
      <c r="H12" s="28" t="s">
        <v>344</v>
      </c>
      <c r="I12" s="2"/>
      <c r="J12" s="2"/>
      <c r="K12" s="2"/>
      <c r="L12" s="28" t="s">
        <v>338</v>
      </c>
    </row>
    <row r="13" spans="1:12" ht="24" x14ac:dyDescent="0.3">
      <c r="A13" s="2">
        <v>10</v>
      </c>
      <c r="B13" s="28" t="s">
        <v>285</v>
      </c>
      <c r="C13" s="28" t="s">
        <v>345</v>
      </c>
      <c r="D13" s="28" t="s">
        <v>346</v>
      </c>
      <c r="E13" s="28" t="s">
        <v>347</v>
      </c>
      <c r="F13" s="28" t="s">
        <v>149</v>
      </c>
      <c r="G13" s="29" t="s">
        <v>348</v>
      </c>
      <c r="H13" s="28" t="s">
        <v>349</v>
      </c>
      <c r="I13" s="2"/>
      <c r="J13" s="2"/>
      <c r="K13" s="2"/>
      <c r="L13" s="28" t="s">
        <v>350</v>
      </c>
    </row>
    <row r="14" spans="1:12" ht="51.75" customHeight="1" x14ac:dyDescent="0.3">
      <c r="A14"/>
      <c r="B14"/>
      <c r="C14"/>
      <c r="D14"/>
      <c r="E14"/>
      <c r="F14"/>
      <c r="G14"/>
      <c r="H14"/>
      <c r="I14"/>
      <c r="J14"/>
      <c r="K14"/>
      <c r="L14"/>
    </row>
    <row r="15" spans="1:12" ht="51.75" customHeight="1" x14ac:dyDescent="0.3">
      <c r="A15"/>
      <c r="B15"/>
      <c r="C15"/>
      <c r="D15"/>
      <c r="E15"/>
      <c r="F15"/>
      <c r="G15"/>
      <c r="H15"/>
      <c r="I15"/>
      <c r="J15"/>
      <c r="K15"/>
      <c r="L15"/>
    </row>
    <row r="16" spans="1:12" ht="76.5" customHeight="1" x14ac:dyDescent="0.3">
      <c r="A16"/>
      <c r="B16"/>
      <c r="C16"/>
      <c r="D16"/>
      <c r="E16"/>
      <c r="F16"/>
      <c r="G16"/>
      <c r="H16"/>
      <c r="I16"/>
      <c r="J16"/>
      <c r="K16"/>
      <c r="L16"/>
    </row>
    <row r="17" spans="1:12" ht="19.5" customHeight="1" x14ac:dyDescent="0.3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3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3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3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3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3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3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3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3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3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3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3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3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3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3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3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3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3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3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3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3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3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3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3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3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3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3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3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3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3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3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3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3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3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3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3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3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3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3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3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3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3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3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3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3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3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3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3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3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3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3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3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3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3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3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3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3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3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3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3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3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3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3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3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3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3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3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3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3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3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3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3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3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3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3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3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3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3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3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3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3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3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3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3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3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3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3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3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3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3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3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3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3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3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3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3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3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3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3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3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3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3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3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3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3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3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3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3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3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3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3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3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3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3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3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3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3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3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3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3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3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3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3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3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3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3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3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3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3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3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3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3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3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3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3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3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3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3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3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3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3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3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3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3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3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3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3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3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3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3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3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3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3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3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3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3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3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3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3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3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3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3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3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3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3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3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3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3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3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3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3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3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3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3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3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3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3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3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3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3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3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3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3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3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2" type="noConversion"/>
  <conditionalFormatting sqref="J4:J13">
    <cfRule type="cellIs" dxfId="6" priority="1" operator="equal">
      <formula>"Fail"</formula>
    </cfRule>
  </conditionalFormatting>
  <dataValidations count="1">
    <dataValidation type="list" allowBlank="1" showInputMessage="1" showErrorMessage="1" sqref="J4:J13" xr:uid="{AEE6D40A-D45E-4A66-9304-DC38A60CCDC0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D89A-DEEC-4E21-8E10-B37B96BAA08D}">
  <dimension ref="A1:L200"/>
  <sheetViews>
    <sheetView topLeftCell="C1" zoomScaleNormal="100" workbookViewId="0">
      <pane ySplit="3" topLeftCell="A7" activePane="bottomLeft" state="frozen"/>
      <selection activeCell="M7" sqref="M7"/>
      <selection pane="bottomLeft" activeCell="T7" sqref="T7"/>
    </sheetView>
  </sheetViews>
  <sheetFormatPr defaultColWidth="8.7109375" defaultRowHeight="16.5" x14ac:dyDescent="0.3"/>
  <cols>
    <col min="1" max="1" width="9.42578125" style="14" customWidth="1"/>
    <col min="2" max="2" width="22" style="14" customWidth="1"/>
    <col min="3" max="3" width="32.42578125" style="14" customWidth="1"/>
    <col min="4" max="4" width="14" style="14" customWidth="1"/>
    <col min="5" max="5" width="42" style="14" customWidth="1"/>
    <col min="6" max="6" width="35.7109375" style="14" customWidth="1"/>
    <col min="7" max="7" width="40.28515625" style="14" customWidth="1"/>
    <col min="8" max="8" width="51.140625" style="14" customWidth="1"/>
    <col min="9" max="9" width="25.85546875" style="14" customWidth="1"/>
    <col min="10" max="10" width="9.85546875" style="14" bestFit="1" customWidth="1"/>
    <col min="11" max="11" width="7.42578125" style="14" bestFit="1" customWidth="1"/>
    <col min="12" max="12" width="21.5703125" style="14" customWidth="1"/>
    <col min="13" max="13" width="8.7109375" style="14" customWidth="1"/>
    <col min="14" max="16384" width="8.7109375" style="14"/>
  </cols>
  <sheetData>
    <row r="1" spans="1:12" ht="36" customHeight="1" x14ac:dyDescent="0.3">
      <c r="A1" s="72" t="s">
        <v>41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21.75" customHeight="1" x14ac:dyDescent="0.3">
      <c r="A2" s="5" t="s">
        <v>1</v>
      </c>
      <c r="B2" s="27" t="s">
        <v>55</v>
      </c>
      <c r="D2" s="5" t="s">
        <v>2</v>
      </c>
      <c r="E2" s="27" t="s">
        <v>57</v>
      </c>
      <c r="G2" s="5" t="s">
        <v>27</v>
      </c>
      <c r="H2" s="27" t="s">
        <v>58</v>
      </c>
      <c r="J2" s="5" t="s">
        <v>28</v>
      </c>
      <c r="K2" s="27" t="s">
        <v>59</v>
      </c>
    </row>
    <row r="3" spans="1:12" ht="30" customHeight="1" x14ac:dyDescent="0.3">
      <c r="A3" s="6" t="s">
        <v>42</v>
      </c>
      <c r="B3" s="6" t="s">
        <v>43</v>
      </c>
      <c r="C3" s="6" t="s">
        <v>44</v>
      </c>
      <c r="D3" s="6" t="s">
        <v>45</v>
      </c>
      <c r="E3" s="6" t="s">
        <v>46</v>
      </c>
      <c r="F3" s="6" t="s">
        <v>47</v>
      </c>
      <c r="G3" s="6" t="s">
        <v>48</v>
      </c>
      <c r="H3" s="6" t="s">
        <v>49</v>
      </c>
      <c r="I3" s="6" t="s">
        <v>50</v>
      </c>
      <c r="J3" s="6" t="s">
        <v>51</v>
      </c>
      <c r="K3" s="6" t="s">
        <v>7</v>
      </c>
      <c r="L3" s="6" t="s">
        <v>39</v>
      </c>
    </row>
    <row r="4" spans="1:12" ht="24" x14ac:dyDescent="0.3">
      <c r="A4" s="2">
        <v>1</v>
      </c>
      <c r="B4" s="28" t="s">
        <v>351</v>
      </c>
      <c r="C4" s="28" t="s">
        <v>352</v>
      </c>
      <c r="D4" s="28" t="s">
        <v>353</v>
      </c>
      <c r="E4" s="28" t="s">
        <v>354</v>
      </c>
      <c r="F4" s="28" t="s">
        <v>355</v>
      </c>
      <c r="G4" s="29" t="s">
        <v>356</v>
      </c>
      <c r="H4" s="28" t="s">
        <v>357</v>
      </c>
      <c r="I4" s="28" t="s">
        <v>115</v>
      </c>
      <c r="J4" s="28" t="s">
        <v>52</v>
      </c>
      <c r="K4" s="28" t="s">
        <v>59</v>
      </c>
      <c r="L4" s="28" t="s">
        <v>358</v>
      </c>
    </row>
    <row r="5" spans="1:12" ht="36" x14ac:dyDescent="0.3">
      <c r="A5" s="2">
        <v>2</v>
      </c>
      <c r="B5" s="28" t="s">
        <v>359</v>
      </c>
      <c r="C5" s="28" t="s">
        <v>360</v>
      </c>
      <c r="D5" s="28" t="s">
        <v>361</v>
      </c>
      <c r="E5" s="28" t="s">
        <v>362</v>
      </c>
      <c r="F5" s="28" t="s">
        <v>363</v>
      </c>
      <c r="G5" s="29" t="s">
        <v>364</v>
      </c>
      <c r="H5" s="28" t="s">
        <v>365</v>
      </c>
      <c r="I5" s="28" t="s">
        <v>366</v>
      </c>
      <c r="J5" s="28" t="s">
        <v>52</v>
      </c>
      <c r="K5" s="28" t="s">
        <v>59</v>
      </c>
      <c r="L5" s="28" t="s">
        <v>367</v>
      </c>
    </row>
    <row r="6" spans="1:12" ht="24" x14ac:dyDescent="0.3">
      <c r="A6" s="2">
        <v>3</v>
      </c>
      <c r="B6" s="28" t="s">
        <v>351</v>
      </c>
      <c r="C6" s="28" t="s">
        <v>368</v>
      </c>
      <c r="D6" s="28" t="s">
        <v>369</v>
      </c>
      <c r="E6" s="28" t="s">
        <v>370</v>
      </c>
      <c r="F6" s="28" t="s">
        <v>371</v>
      </c>
      <c r="G6" s="29" t="s">
        <v>372</v>
      </c>
      <c r="H6" s="28" t="s">
        <v>373</v>
      </c>
      <c r="I6" s="2"/>
      <c r="J6" s="2"/>
      <c r="K6" s="2"/>
      <c r="L6" s="28" t="s">
        <v>358</v>
      </c>
    </row>
    <row r="7" spans="1:12" ht="36" x14ac:dyDescent="0.3">
      <c r="A7" s="2">
        <v>4</v>
      </c>
      <c r="B7" s="28" t="s">
        <v>374</v>
      </c>
      <c r="C7" s="28" t="s">
        <v>375</v>
      </c>
      <c r="D7" s="28" t="s">
        <v>376</v>
      </c>
      <c r="E7" s="28" t="s">
        <v>377</v>
      </c>
      <c r="F7" s="28" t="s">
        <v>378</v>
      </c>
      <c r="G7" s="29" t="s">
        <v>379</v>
      </c>
      <c r="H7" s="28" t="s">
        <v>380</v>
      </c>
      <c r="I7" s="28" t="s">
        <v>115</v>
      </c>
      <c r="J7" s="28" t="s">
        <v>52</v>
      </c>
      <c r="K7" s="28" t="s">
        <v>59</v>
      </c>
      <c r="L7" s="28" t="s">
        <v>381</v>
      </c>
    </row>
    <row r="8" spans="1:12" ht="24" x14ac:dyDescent="0.3">
      <c r="A8" s="2">
        <v>5</v>
      </c>
      <c r="B8" s="28" t="s">
        <v>382</v>
      </c>
      <c r="C8" s="28" t="s">
        <v>383</v>
      </c>
      <c r="D8" s="28" t="s">
        <v>384</v>
      </c>
      <c r="E8" s="28" t="s">
        <v>385</v>
      </c>
      <c r="F8" s="28" t="s">
        <v>386</v>
      </c>
      <c r="G8" s="29" t="s">
        <v>387</v>
      </c>
      <c r="H8" s="28" t="s">
        <v>388</v>
      </c>
      <c r="I8" s="28" t="s">
        <v>115</v>
      </c>
      <c r="J8" s="28" t="s">
        <v>52</v>
      </c>
      <c r="K8" s="28" t="s">
        <v>59</v>
      </c>
      <c r="L8" s="28" t="s">
        <v>389</v>
      </c>
    </row>
    <row r="9" spans="1:12" x14ac:dyDescent="0.3">
      <c r="A9" s="2">
        <v>6</v>
      </c>
      <c r="B9" s="28" t="s">
        <v>382</v>
      </c>
      <c r="C9" s="28" t="s">
        <v>390</v>
      </c>
      <c r="D9" s="28" t="s">
        <v>391</v>
      </c>
      <c r="E9" s="28" t="s">
        <v>392</v>
      </c>
      <c r="F9" s="28" t="s">
        <v>393</v>
      </c>
      <c r="G9" s="29" t="s">
        <v>394</v>
      </c>
      <c r="H9" s="28" t="s">
        <v>395</v>
      </c>
      <c r="I9" s="2"/>
      <c r="J9" s="2"/>
      <c r="K9" s="2"/>
      <c r="L9" s="28" t="s">
        <v>389</v>
      </c>
    </row>
    <row r="10" spans="1:12" ht="24" x14ac:dyDescent="0.3">
      <c r="A10" s="2">
        <v>7</v>
      </c>
      <c r="B10" s="28" t="s">
        <v>396</v>
      </c>
      <c r="C10" s="28" t="s">
        <v>397</v>
      </c>
      <c r="D10" s="28" t="s">
        <v>398</v>
      </c>
      <c r="E10" s="28" t="s">
        <v>399</v>
      </c>
      <c r="F10" s="28" t="s">
        <v>400</v>
      </c>
      <c r="G10" s="29" t="s">
        <v>401</v>
      </c>
      <c r="H10" s="28" t="s">
        <v>402</v>
      </c>
      <c r="I10" s="2"/>
      <c r="J10" s="2"/>
      <c r="K10" s="2"/>
      <c r="L10" s="2"/>
    </row>
    <row r="11" spans="1:12" ht="51.75" customHeight="1" x14ac:dyDescent="0.3">
      <c r="A11"/>
      <c r="B11"/>
      <c r="C11"/>
      <c r="D11"/>
      <c r="E11"/>
      <c r="F11"/>
      <c r="G11"/>
      <c r="H11"/>
      <c r="I11"/>
      <c r="J11"/>
      <c r="K11"/>
      <c r="L11"/>
    </row>
    <row r="12" spans="1:12" ht="51.75" customHeight="1" x14ac:dyDescent="0.3">
      <c r="A12"/>
      <c r="B12"/>
      <c r="C12"/>
      <c r="D12"/>
      <c r="E12"/>
      <c r="F12"/>
      <c r="G12"/>
      <c r="H12"/>
      <c r="I12"/>
      <c r="J12"/>
      <c r="K12"/>
      <c r="L12"/>
    </row>
    <row r="13" spans="1:12" ht="51.75" customHeight="1" x14ac:dyDescent="0.3">
      <c r="A13"/>
      <c r="B13"/>
      <c r="C13"/>
      <c r="D13"/>
      <c r="E13"/>
      <c r="F13"/>
      <c r="G13"/>
      <c r="H13"/>
      <c r="I13"/>
      <c r="J13"/>
      <c r="K13"/>
      <c r="L13"/>
    </row>
    <row r="14" spans="1:12" ht="51.75" customHeight="1" x14ac:dyDescent="0.3">
      <c r="A14"/>
      <c r="B14"/>
      <c r="C14"/>
      <c r="D14"/>
      <c r="E14"/>
      <c r="F14"/>
      <c r="G14"/>
      <c r="H14"/>
      <c r="I14"/>
      <c r="J14"/>
      <c r="K14"/>
      <c r="L14"/>
    </row>
    <row r="15" spans="1:12" ht="51.75" customHeight="1" x14ac:dyDescent="0.3">
      <c r="A15"/>
      <c r="B15"/>
      <c r="C15"/>
      <c r="D15"/>
      <c r="E15"/>
      <c r="F15"/>
      <c r="G15"/>
      <c r="H15"/>
      <c r="I15"/>
      <c r="J15"/>
      <c r="K15"/>
      <c r="L15"/>
    </row>
    <row r="16" spans="1:12" ht="76.5" customHeight="1" x14ac:dyDescent="0.3">
      <c r="A16"/>
      <c r="B16"/>
      <c r="C16"/>
      <c r="D16"/>
      <c r="E16"/>
      <c r="F16"/>
      <c r="G16"/>
      <c r="H16"/>
      <c r="I16"/>
      <c r="J16"/>
      <c r="K16"/>
      <c r="L16"/>
    </row>
    <row r="17" spans="1:12" ht="19.5" customHeight="1" x14ac:dyDescent="0.3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3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3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3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3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3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3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3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3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3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3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3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3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3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3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3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3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3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3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3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3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3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3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3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3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3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3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3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3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3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3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3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3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3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3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3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3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3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3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3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3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3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3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3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3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3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3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3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3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3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3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3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3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3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3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3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3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3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3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3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3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3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3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3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3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3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3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3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3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3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3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3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3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3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3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3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3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3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3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3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3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3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3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3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3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3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3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3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3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3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3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3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3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3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3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3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3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3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3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3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3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3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3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3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3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3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3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3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3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3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3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3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3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3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3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3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3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3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3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3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3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3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3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3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3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3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3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3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3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3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3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3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3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3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3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3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3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3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3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3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3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3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3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3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3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3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3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3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3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3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3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3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3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3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3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3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3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3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3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3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3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3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3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3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3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3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3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3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3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3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3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3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3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3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3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3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3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3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3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3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3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3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3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3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2" type="noConversion"/>
  <conditionalFormatting sqref="J4:J10">
    <cfRule type="cellIs" dxfId="5" priority="1" operator="equal">
      <formula>"Fail"</formula>
    </cfRule>
  </conditionalFormatting>
  <dataValidations count="1">
    <dataValidation type="list" allowBlank="1" showInputMessage="1" showErrorMessage="1" sqref="J4:J10" xr:uid="{5874634A-8284-456F-A0ED-C451A3CB3CB5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DE4A7-20AC-4079-A1CC-E5E9D187EE62}">
  <dimension ref="A1:L200"/>
  <sheetViews>
    <sheetView topLeftCell="C1" zoomScaleNormal="100" workbookViewId="0">
      <pane ySplit="3" topLeftCell="A7" activePane="bottomLeft" state="frozen"/>
      <selection activeCell="M7" sqref="M7"/>
      <selection pane="bottomLeft" activeCell="T7" sqref="T7"/>
    </sheetView>
  </sheetViews>
  <sheetFormatPr defaultColWidth="8.7109375" defaultRowHeight="16.5" x14ac:dyDescent="0.3"/>
  <cols>
    <col min="1" max="1" width="9.42578125" style="14" customWidth="1"/>
    <col min="2" max="2" width="22" style="14" customWidth="1"/>
    <col min="3" max="3" width="32.42578125" style="14" customWidth="1"/>
    <col min="4" max="4" width="14" style="14" customWidth="1"/>
    <col min="5" max="5" width="42" style="14" customWidth="1"/>
    <col min="6" max="6" width="35.7109375" style="14" customWidth="1"/>
    <col min="7" max="7" width="40.28515625" style="14" customWidth="1"/>
    <col min="8" max="8" width="51.140625" style="14" customWidth="1"/>
    <col min="9" max="9" width="25.85546875" style="14" customWidth="1"/>
    <col min="10" max="10" width="9.85546875" style="14" bestFit="1" customWidth="1"/>
    <col min="11" max="11" width="7.42578125" style="14" bestFit="1" customWidth="1"/>
    <col min="12" max="12" width="21.5703125" style="14" customWidth="1"/>
    <col min="13" max="13" width="8.7109375" style="14" customWidth="1"/>
    <col min="14" max="16384" width="8.7109375" style="14"/>
  </cols>
  <sheetData>
    <row r="1" spans="1:12" ht="36" customHeight="1" x14ac:dyDescent="0.3">
      <c r="A1" s="72" t="s">
        <v>41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21.75" customHeight="1" x14ac:dyDescent="0.3">
      <c r="A2" s="5" t="s">
        <v>1</v>
      </c>
      <c r="B2" s="27" t="s">
        <v>55</v>
      </c>
      <c r="D2" s="5" t="s">
        <v>2</v>
      </c>
      <c r="E2" s="27" t="s">
        <v>57</v>
      </c>
      <c r="G2" s="5" t="s">
        <v>27</v>
      </c>
      <c r="H2" s="27" t="s">
        <v>58</v>
      </c>
      <c r="J2" s="5" t="s">
        <v>28</v>
      </c>
      <c r="K2" s="27" t="s">
        <v>59</v>
      </c>
    </row>
    <row r="3" spans="1:12" ht="30" customHeight="1" x14ac:dyDescent="0.3">
      <c r="A3" s="6" t="s">
        <v>42</v>
      </c>
      <c r="B3" s="6" t="s">
        <v>43</v>
      </c>
      <c r="C3" s="6" t="s">
        <v>44</v>
      </c>
      <c r="D3" s="6" t="s">
        <v>45</v>
      </c>
      <c r="E3" s="6" t="s">
        <v>46</v>
      </c>
      <c r="F3" s="6" t="s">
        <v>47</v>
      </c>
      <c r="G3" s="6" t="s">
        <v>48</v>
      </c>
      <c r="H3" s="6" t="s">
        <v>49</v>
      </c>
      <c r="I3" s="6" t="s">
        <v>50</v>
      </c>
      <c r="J3" s="6" t="s">
        <v>51</v>
      </c>
      <c r="K3" s="6" t="s">
        <v>7</v>
      </c>
      <c r="L3" s="6" t="s">
        <v>39</v>
      </c>
    </row>
    <row r="4" spans="1:12" ht="24" x14ac:dyDescent="0.3">
      <c r="A4" s="2">
        <v>1</v>
      </c>
      <c r="B4" s="28" t="s">
        <v>403</v>
      </c>
      <c r="C4" s="28" t="s">
        <v>404</v>
      </c>
      <c r="D4" s="28" t="s">
        <v>405</v>
      </c>
      <c r="E4" s="28" t="s">
        <v>406</v>
      </c>
      <c r="F4" s="28" t="s">
        <v>407</v>
      </c>
      <c r="G4" s="29" t="s">
        <v>408</v>
      </c>
      <c r="H4" s="28" t="s">
        <v>409</v>
      </c>
      <c r="I4" s="28" t="s">
        <v>67</v>
      </c>
      <c r="J4" s="28" t="s">
        <v>52</v>
      </c>
      <c r="K4" s="28" t="s">
        <v>59</v>
      </c>
      <c r="L4" s="28" t="s">
        <v>410</v>
      </c>
    </row>
    <row r="5" spans="1:12" ht="24" x14ac:dyDescent="0.3">
      <c r="A5" s="2">
        <v>2</v>
      </c>
      <c r="B5" s="28" t="s">
        <v>403</v>
      </c>
      <c r="C5" s="28" t="s">
        <v>411</v>
      </c>
      <c r="D5" s="28" t="s">
        <v>412</v>
      </c>
      <c r="E5" s="28" t="s">
        <v>413</v>
      </c>
      <c r="F5" s="28" t="s">
        <v>414</v>
      </c>
      <c r="G5" s="29" t="s">
        <v>415</v>
      </c>
      <c r="H5" s="28" t="s">
        <v>416</v>
      </c>
      <c r="I5" s="28" t="s">
        <v>115</v>
      </c>
      <c r="J5" s="28" t="s">
        <v>52</v>
      </c>
      <c r="K5" s="28" t="s">
        <v>59</v>
      </c>
      <c r="L5" s="28" t="s">
        <v>410</v>
      </c>
    </row>
    <row r="6" spans="1:12" ht="24" x14ac:dyDescent="0.3">
      <c r="A6" s="2">
        <v>3</v>
      </c>
      <c r="B6" s="28" t="s">
        <v>403</v>
      </c>
      <c r="C6" s="28" t="s">
        <v>417</v>
      </c>
      <c r="D6" s="28" t="s">
        <v>418</v>
      </c>
      <c r="E6" s="28" t="s">
        <v>419</v>
      </c>
      <c r="F6" s="28" t="s">
        <v>149</v>
      </c>
      <c r="G6" s="29" t="s">
        <v>420</v>
      </c>
      <c r="H6" s="28" t="s">
        <v>421</v>
      </c>
      <c r="I6" s="2"/>
      <c r="J6" s="2"/>
      <c r="K6" s="2"/>
      <c r="L6" s="2"/>
    </row>
    <row r="7" spans="1:12" ht="24" x14ac:dyDescent="0.3">
      <c r="A7" s="2">
        <v>4</v>
      </c>
      <c r="B7" s="28" t="s">
        <v>403</v>
      </c>
      <c r="C7" s="28" t="s">
        <v>422</v>
      </c>
      <c r="D7" s="28" t="s">
        <v>423</v>
      </c>
      <c r="E7" s="28" t="s">
        <v>424</v>
      </c>
      <c r="F7" s="28" t="s">
        <v>149</v>
      </c>
      <c r="G7" s="29" t="s">
        <v>425</v>
      </c>
      <c r="H7" s="28" t="s">
        <v>426</v>
      </c>
      <c r="I7" s="2"/>
      <c r="J7" s="2"/>
      <c r="K7" s="2"/>
      <c r="L7" s="2"/>
    </row>
    <row r="8" spans="1:12" ht="24" x14ac:dyDescent="0.3">
      <c r="A8" s="2">
        <v>5</v>
      </c>
      <c r="B8" s="28" t="s">
        <v>427</v>
      </c>
      <c r="C8" s="28" t="s">
        <v>428</v>
      </c>
      <c r="D8" s="28" t="s">
        <v>429</v>
      </c>
      <c r="E8" s="28" t="s">
        <v>430</v>
      </c>
      <c r="F8" s="28" t="s">
        <v>431</v>
      </c>
      <c r="G8" s="29" t="s">
        <v>432</v>
      </c>
      <c r="H8" s="28" t="s">
        <v>433</v>
      </c>
      <c r="I8" s="2"/>
      <c r="J8" s="2"/>
      <c r="K8" s="2"/>
      <c r="L8" s="28" t="s">
        <v>107</v>
      </c>
    </row>
    <row r="9" spans="1:12" ht="62.45" customHeight="1" x14ac:dyDescent="0.3">
      <c r="A9"/>
      <c r="B9"/>
      <c r="C9"/>
      <c r="D9"/>
      <c r="E9"/>
      <c r="F9"/>
      <c r="G9"/>
      <c r="H9"/>
      <c r="I9"/>
      <c r="J9"/>
      <c r="K9"/>
      <c r="L9"/>
    </row>
    <row r="10" spans="1:12" ht="51.75" customHeight="1" x14ac:dyDescent="0.3">
      <c r="A10"/>
      <c r="B10"/>
      <c r="C10"/>
      <c r="D10"/>
      <c r="E10"/>
      <c r="F10"/>
      <c r="G10"/>
      <c r="H10"/>
      <c r="I10"/>
      <c r="J10"/>
      <c r="K10"/>
      <c r="L10"/>
    </row>
    <row r="11" spans="1:12" ht="51.75" customHeight="1" x14ac:dyDescent="0.3">
      <c r="A11"/>
      <c r="B11"/>
      <c r="C11"/>
      <c r="D11"/>
      <c r="E11"/>
      <c r="F11"/>
      <c r="G11"/>
      <c r="H11"/>
      <c r="I11"/>
      <c r="J11"/>
      <c r="K11"/>
      <c r="L11"/>
    </row>
    <row r="12" spans="1:12" ht="51.75" customHeight="1" x14ac:dyDescent="0.3">
      <c r="A12"/>
      <c r="B12"/>
      <c r="C12"/>
      <c r="D12"/>
      <c r="E12"/>
      <c r="F12"/>
      <c r="G12"/>
      <c r="H12"/>
      <c r="I12"/>
      <c r="J12"/>
      <c r="K12"/>
      <c r="L12"/>
    </row>
    <row r="13" spans="1:12" ht="51.75" customHeight="1" x14ac:dyDescent="0.3">
      <c r="A13"/>
      <c r="B13"/>
      <c r="C13"/>
      <c r="D13"/>
      <c r="E13"/>
      <c r="F13"/>
      <c r="G13"/>
      <c r="H13"/>
      <c r="I13"/>
      <c r="J13"/>
      <c r="K13"/>
      <c r="L13"/>
    </row>
    <row r="14" spans="1:12" ht="51.75" customHeight="1" x14ac:dyDescent="0.3">
      <c r="A14"/>
      <c r="B14"/>
      <c r="C14"/>
      <c r="D14"/>
      <c r="E14"/>
      <c r="F14"/>
      <c r="G14"/>
      <c r="H14"/>
      <c r="I14"/>
      <c r="J14"/>
      <c r="K14"/>
      <c r="L14"/>
    </row>
    <row r="15" spans="1:12" ht="51.75" customHeight="1" x14ac:dyDescent="0.3">
      <c r="A15"/>
      <c r="B15"/>
      <c r="C15"/>
      <c r="D15"/>
      <c r="E15"/>
      <c r="F15"/>
      <c r="G15"/>
      <c r="H15"/>
      <c r="I15"/>
      <c r="J15"/>
      <c r="K15"/>
      <c r="L15"/>
    </row>
    <row r="16" spans="1:12" ht="76.5" customHeight="1" x14ac:dyDescent="0.3">
      <c r="A16"/>
      <c r="B16"/>
      <c r="C16"/>
      <c r="D16"/>
      <c r="E16"/>
      <c r="F16"/>
      <c r="G16"/>
      <c r="H16"/>
      <c r="I16"/>
      <c r="J16"/>
      <c r="K16"/>
      <c r="L16"/>
    </row>
    <row r="17" spans="1:12" ht="19.5" customHeight="1" x14ac:dyDescent="0.3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3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3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3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3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3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3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3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3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3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3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3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3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3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3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3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3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3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3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3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3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3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3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3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3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3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3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3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3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3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3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3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3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3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3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3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3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3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3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3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3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3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3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3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3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3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3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3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3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3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3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3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3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3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3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3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3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3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3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3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3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3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3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3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3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3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3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3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3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3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3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3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3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3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3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3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3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3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3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3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3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3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3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3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3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3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3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3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3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3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3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3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3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3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3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3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3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3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3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3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3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3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3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3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3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3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3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3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3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3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3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3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3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3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3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3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3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3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3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3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3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3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3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3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3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3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3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3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3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3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3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3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3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3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3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3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3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3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3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3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3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3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3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3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3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3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3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3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3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3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3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3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3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3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3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3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3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3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3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3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3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3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3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3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3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3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3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3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3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3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3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3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3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3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3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3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3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3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3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3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3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3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3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3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2" type="noConversion"/>
  <conditionalFormatting sqref="J4:J8">
    <cfRule type="cellIs" dxfId="4" priority="1" operator="equal">
      <formula>"Fail"</formula>
    </cfRule>
  </conditionalFormatting>
  <dataValidations count="1">
    <dataValidation type="list" allowBlank="1" showInputMessage="1" showErrorMessage="1" sqref="J4:J8" xr:uid="{8CFBC989-CC1C-4A16-A5E1-424BAC46865B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6C76A-664F-41F1-9471-5C0F9BE36292}">
  <dimension ref="A1:L200"/>
  <sheetViews>
    <sheetView topLeftCell="C1" zoomScaleNormal="100" workbookViewId="0">
      <pane ySplit="3" topLeftCell="A7" activePane="bottomLeft" state="frozen"/>
      <selection activeCell="M7" sqref="M7"/>
      <selection pane="bottomLeft" activeCell="T7" sqref="T7"/>
    </sheetView>
  </sheetViews>
  <sheetFormatPr defaultColWidth="8.7109375" defaultRowHeight="16.5" x14ac:dyDescent="0.3"/>
  <cols>
    <col min="1" max="1" width="9.42578125" style="14" customWidth="1"/>
    <col min="2" max="2" width="22" style="14" customWidth="1"/>
    <col min="3" max="3" width="32.42578125" style="14" customWidth="1"/>
    <col min="4" max="4" width="14" style="14" customWidth="1"/>
    <col min="5" max="5" width="42" style="14" customWidth="1"/>
    <col min="6" max="6" width="35.7109375" style="14" customWidth="1"/>
    <col min="7" max="7" width="40.28515625" style="14" customWidth="1"/>
    <col min="8" max="8" width="51.140625" style="14" customWidth="1"/>
    <col min="9" max="9" width="25.85546875" style="14" customWidth="1"/>
    <col min="10" max="10" width="9.85546875" style="14" bestFit="1" customWidth="1"/>
    <col min="11" max="11" width="7.42578125" style="14" bestFit="1" customWidth="1"/>
    <col min="12" max="12" width="21.5703125" style="14" customWidth="1"/>
    <col min="13" max="13" width="8.7109375" style="14" customWidth="1"/>
    <col min="14" max="16384" width="8.7109375" style="14"/>
  </cols>
  <sheetData>
    <row r="1" spans="1:12" ht="36" customHeight="1" x14ac:dyDescent="0.3">
      <c r="A1" s="72" t="s">
        <v>41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21.75" customHeight="1" x14ac:dyDescent="0.3">
      <c r="A2" s="5" t="s">
        <v>1</v>
      </c>
      <c r="B2" s="27" t="s">
        <v>55</v>
      </c>
      <c r="D2" s="5" t="s">
        <v>2</v>
      </c>
      <c r="E2" s="27" t="s">
        <v>57</v>
      </c>
      <c r="G2" s="5" t="s">
        <v>27</v>
      </c>
      <c r="H2" s="27" t="s">
        <v>58</v>
      </c>
      <c r="J2" s="5" t="s">
        <v>28</v>
      </c>
      <c r="K2" s="27" t="s">
        <v>59</v>
      </c>
    </row>
    <row r="3" spans="1:12" ht="30" customHeight="1" x14ac:dyDescent="0.3">
      <c r="A3" s="6" t="s">
        <v>42</v>
      </c>
      <c r="B3" s="6" t="s">
        <v>43</v>
      </c>
      <c r="C3" s="6" t="s">
        <v>44</v>
      </c>
      <c r="D3" s="6" t="s">
        <v>45</v>
      </c>
      <c r="E3" s="6" t="s">
        <v>46</v>
      </c>
      <c r="F3" s="6" t="s">
        <v>47</v>
      </c>
      <c r="G3" s="6" t="s">
        <v>48</v>
      </c>
      <c r="H3" s="6" t="s">
        <v>49</v>
      </c>
      <c r="I3" s="6" t="s">
        <v>50</v>
      </c>
      <c r="J3" s="6" t="s">
        <v>51</v>
      </c>
      <c r="K3" s="6" t="s">
        <v>7</v>
      </c>
      <c r="L3" s="6" t="s">
        <v>39</v>
      </c>
    </row>
    <row r="4" spans="1:12" ht="36" x14ac:dyDescent="0.3">
      <c r="A4" s="2">
        <v>1</v>
      </c>
      <c r="B4" s="28" t="s">
        <v>434</v>
      </c>
      <c r="C4" s="28" t="s">
        <v>435</v>
      </c>
      <c r="D4" s="28" t="s">
        <v>436</v>
      </c>
      <c r="E4" s="28" t="s">
        <v>437</v>
      </c>
      <c r="F4" s="28" t="s">
        <v>438</v>
      </c>
      <c r="G4" s="29" t="s">
        <v>439</v>
      </c>
      <c r="H4" s="28" t="s">
        <v>440</v>
      </c>
      <c r="I4" s="28" t="s">
        <v>441</v>
      </c>
      <c r="J4" s="28" t="s">
        <v>52</v>
      </c>
      <c r="K4" s="28" t="s">
        <v>59</v>
      </c>
      <c r="L4" s="28" t="s">
        <v>442</v>
      </c>
    </row>
    <row r="5" spans="1:12" ht="24" x14ac:dyDescent="0.3">
      <c r="A5" s="2">
        <v>2</v>
      </c>
      <c r="B5" s="28" t="s">
        <v>434</v>
      </c>
      <c r="C5" s="28" t="s">
        <v>443</v>
      </c>
      <c r="D5" s="28" t="s">
        <v>444</v>
      </c>
      <c r="E5" s="28" t="s">
        <v>445</v>
      </c>
      <c r="F5" s="28" t="s">
        <v>446</v>
      </c>
      <c r="G5" s="29" t="s">
        <v>447</v>
      </c>
      <c r="H5" s="28" t="s">
        <v>448</v>
      </c>
      <c r="I5" s="28" t="s">
        <v>67</v>
      </c>
      <c r="J5" s="28" t="s">
        <v>52</v>
      </c>
      <c r="K5" s="28" t="s">
        <v>59</v>
      </c>
      <c r="L5" s="28" t="s">
        <v>442</v>
      </c>
    </row>
    <row r="6" spans="1:12" ht="24" x14ac:dyDescent="0.3">
      <c r="A6" s="2">
        <v>3</v>
      </c>
      <c r="B6" s="28" t="s">
        <v>434</v>
      </c>
      <c r="C6" s="28" t="s">
        <v>449</v>
      </c>
      <c r="D6" s="28" t="s">
        <v>450</v>
      </c>
      <c r="E6" s="28" t="s">
        <v>451</v>
      </c>
      <c r="F6" s="28" t="s">
        <v>452</v>
      </c>
      <c r="G6" s="29" t="s">
        <v>453</v>
      </c>
      <c r="H6" s="28" t="s">
        <v>454</v>
      </c>
      <c r="I6" s="2"/>
      <c r="J6" s="2"/>
      <c r="K6" s="2"/>
      <c r="L6" s="28" t="s">
        <v>442</v>
      </c>
    </row>
    <row r="7" spans="1:12" ht="24" x14ac:dyDescent="0.3">
      <c r="A7" s="2">
        <v>4</v>
      </c>
      <c r="B7" s="28" t="s">
        <v>455</v>
      </c>
      <c r="C7" s="28" t="s">
        <v>456</v>
      </c>
      <c r="D7" s="28" t="s">
        <v>457</v>
      </c>
      <c r="E7" s="28" t="s">
        <v>458</v>
      </c>
      <c r="F7" s="28" t="s">
        <v>459</v>
      </c>
      <c r="G7" s="29" t="s">
        <v>460</v>
      </c>
      <c r="H7" s="28" t="s">
        <v>461</v>
      </c>
      <c r="I7" s="2"/>
      <c r="J7" s="2"/>
      <c r="K7" s="2"/>
      <c r="L7" s="2"/>
    </row>
    <row r="8" spans="1:12" x14ac:dyDescent="0.3">
      <c r="A8" s="2">
        <v>5</v>
      </c>
      <c r="B8" s="28" t="s">
        <v>455</v>
      </c>
      <c r="C8" s="28" t="s">
        <v>462</v>
      </c>
      <c r="D8" s="28" t="s">
        <v>463</v>
      </c>
      <c r="E8" s="28" t="s">
        <v>464</v>
      </c>
      <c r="F8" s="28" t="s">
        <v>96</v>
      </c>
      <c r="G8" s="29" t="s">
        <v>465</v>
      </c>
      <c r="H8" s="28" t="s">
        <v>466</v>
      </c>
      <c r="I8" s="2"/>
      <c r="J8" s="2"/>
      <c r="K8" s="2"/>
      <c r="L8" s="2"/>
    </row>
    <row r="9" spans="1:12" ht="24" x14ac:dyDescent="0.3">
      <c r="A9" s="2">
        <v>6</v>
      </c>
      <c r="B9" s="28" t="s">
        <v>467</v>
      </c>
      <c r="C9" s="28" t="s">
        <v>468</v>
      </c>
      <c r="D9" s="28" t="s">
        <v>469</v>
      </c>
      <c r="E9" s="28" t="s">
        <v>470</v>
      </c>
      <c r="F9" s="28" t="s">
        <v>232</v>
      </c>
      <c r="G9" s="29" t="s">
        <v>471</v>
      </c>
      <c r="H9" s="28" t="s">
        <v>472</v>
      </c>
      <c r="I9" s="2"/>
      <c r="J9" s="2"/>
      <c r="K9" s="2"/>
      <c r="L9" s="28" t="s">
        <v>76</v>
      </c>
    </row>
    <row r="10" spans="1:12" ht="51.75" customHeight="1" x14ac:dyDescent="0.3">
      <c r="A10"/>
      <c r="B10"/>
      <c r="C10"/>
      <c r="D10"/>
      <c r="E10"/>
      <c r="F10"/>
      <c r="G10"/>
      <c r="H10"/>
      <c r="I10"/>
      <c r="J10"/>
      <c r="K10"/>
      <c r="L10"/>
    </row>
    <row r="11" spans="1:12" ht="51.75" customHeight="1" x14ac:dyDescent="0.3">
      <c r="A11"/>
      <c r="B11"/>
      <c r="C11"/>
      <c r="D11"/>
      <c r="E11"/>
      <c r="F11"/>
      <c r="G11"/>
      <c r="H11"/>
      <c r="I11"/>
      <c r="J11"/>
      <c r="K11"/>
      <c r="L11"/>
    </row>
    <row r="12" spans="1:12" ht="51.75" customHeight="1" x14ac:dyDescent="0.3">
      <c r="A12"/>
      <c r="B12"/>
      <c r="C12"/>
      <c r="D12"/>
      <c r="E12"/>
      <c r="F12"/>
      <c r="G12"/>
      <c r="H12"/>
      <c r="I12"/>
      <c r="J12"/>
      <c r="K12"/>
      <c r="L12"/>
    </row>
    <row r="13" spans="1:12" ht="51.75" customHeight="1" x14ac:dyDescent="0.3">
      <c r="A13"/>
      <c r="B13"/>
      <c r="C13"/>
      <c r="D13"/>
      <c r="E13"/>
      <c r="F13"/>
      <c r="G13"/>
      <c r="H13"/>
      <c r="I13"/>
      <c r="J13"/>
      <c r="K13"/>
      <c r="L13"/>
    </row>
    <row r="14" spans="1:12" ht="51.75" customHeight="1" x14ac:dyDescent="0.3">
      <c r="A14"/>
      <c r="B14"/>
      <c r="C14"/>
      <c r="D14"/>
      <c r="E14"/>
      <c r="F14"/>
      <c r="G14"/>
      <c r="H14"/>
      <c r="I14"/>
      <c r="J14"/>
      <c r="K14"/>
      <c r="L14"/>
    </row>
    <row r="15" spans="1:12" ht="51.75" customHeight="1" x14ac:dyDescent="0.3">
      <c r="A15"/>
      <c r="B15"/>
      <c r="C15"/>
      <c r="D15"/>
      <c r="E15"/>
      <c r="F15"/>
      <c r="G15"/>
      <c r="H15"/>
      <c r="I15"/>
      <c r="J15"/>
      <c r="K15"/>
      <c r="L15"/>
    </row>
    <row r="16" spans="1:12" ht="76.5" customHeight="1" x14ac:dyDescent="0.3">
      <c r="A16"/>
      <c r="B16"/>
      <c r="C16"/>
      <c r="D16"/>
      <c r="E16"/>
      <c r="F16"/>
      <c r="G16"/>
      <c r="H16"/>
      <c r="I16"/>
      <c r="J16"/>
      <c r="K16"/>
      <c r="L16"/>
    </row>
    <row r="17" spans="1:12" ht="19.5" customHeight="1" x14ac:dyDescent="0.3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3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3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3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3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3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3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3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3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3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3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3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3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3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3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3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3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3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3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3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3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3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3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3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3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3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3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3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3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3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3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3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3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3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3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3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3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3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3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3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3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3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3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3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3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3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3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3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3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3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3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3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3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3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3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3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3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3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3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3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3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3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3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3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3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3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3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3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3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3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3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3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3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3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3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3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3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3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3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3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3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3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3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3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3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3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3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3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3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3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3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3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3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3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3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3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3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3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3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3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3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3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3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3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3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3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3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3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3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3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3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3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3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3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3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3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3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3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3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3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3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3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3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3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3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3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3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3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3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3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3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3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3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3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3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3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3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3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3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3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3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3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3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3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3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3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3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3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3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3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3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3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3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3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3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3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3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3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3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3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3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3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3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3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3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3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3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3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3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3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3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3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3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3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3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3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3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3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3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3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3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3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3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3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2" type="noConversion"/>
  <conditionalFormatting sqref="J4:J9">
    <cfRule type="cellIs" dxfId="3" priority="1" operator="equal">
      <formula>"Fail"</formula>
    </cfRule>
  </conditionalFormatting>
  <dataValidations count="1">
    <dataValidation type="list" allowBlank="1" showInputMessage="1" showErrorMessage="1" sqref="J4:J9" xr:uid="{B565E516-FA6A-4EEF-924B-8BF926765BC3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3CD0-8231-4714-828A-9BA5807AE279}">
  <dimension ref="A1:L200"/>
  <sheetViews>
    <sheetView topLeftCell="C1" zoomScaleNormal="100" workbookViewId="0">
      <pane ySplit="3" topLeftCell="A7" activePane="bottomLeft" state="frozen"/>
      <selection activeCell="M7" sqref="M7"/>
      <selection pane="bottomLeft" activeCell="T7" sqref="T7"/>
    </sheetView>
  </sheetViews>
  <sheetFormatPr defaultColWidth="8.7109375" defaultRowHeight="16.5" x14ac:dyDescent="0.3"/>
  <cols>
    <col min="1" max="1" width="9.42578125" style="14" customWidth="1"/>
    <col min="2" max="2" width="22" style="14" customWidth="1"/>
    <col min="3" max="3" width="32.42578125" style="14" customWidth="1"/>
    <col min="4" max="4" width="14" style="14" customWidth="1"/>
    <col min="5" max="5" width="42" style="14" customWidth="1"/>
    <col min="6" max="6" width="35.7109375" style="14" customWidth="1"/>
    <col min="7" max="7" width="40.28515625" style="14" customWidth="1"/>
    <col min="8" max="8" width="51.140625" style="14" customWidth="1"/>
    <col min="9" max="9" width="25.85546875" style="14" customWidth="1"/>
    <col min="10" max="10" width="9.85546875" style="14" bestFit="1" customWidth="1"/>
    <col min="11" max="11" width="7.42578125" style="14" bestFit="1" customWidth="1"/>
    <col min="12" max="12" width="21.5703125" style="14" customWidth="1"/>
    <col min="13" max="13" width="8.7109375" style="14" customWidth="1"/>
    <col min="14" max="16384" width="8.7109375" style="14"/>
  </cols>
  <sheetData>
    <row r="1" spans="1:12" ht="36" customHeight="1" x14ac:dyDescent="0.3">
      <c r="A1" s="72" t="s">
        <v>41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21.75" customHeight="1" x14ac:dyDescent="0.3">
      <c r="A2" s="5" t="s">
        <v>1</v>
      </c>
      <c r="B2" s="27" t="s">
        <v>55</v>
      </c>
      <c r="D2" s="5" t="s">
        <v>2</v>
      </c>
      <c r="E2" s="27" t="s">
        <v>57</v>
      </c>
      <c r="G2" s="5" t="s">
        <v>27</v>
      </c>
      <c r="H2" s="27" t="s">
        <v>58</v>
      </c>
      <c r="J2" s="5" t="s">
        <v>28</v>
      </c>
      <c r="K2" s="27" t="s">
        <v>59</v>
      </c>
    </row>
    <row r="3" spans="1:12" ht="30" customHeight="1" x14ac:dyDescent="0.3">
      <c r="A3" s="6" t="s">
        <v>42</v>
      </c>
      <c r="B3" s="6" t="s">
        <v>43</v>
      </c>
      <c r="C3" s="6" t="s">
        <v>44</v>
      </c>
      <c r="D3" s="6" t="s">
        <v>45</v>
      </c>
      <c r="E3" s="6" t="s">
        <v>46</v>
      </c>
      <c r="F3" s="6" t="s">
        <v>47</v>
      </c>
      <c r="G3" s="6" t="s">
        <v>48</v>
      </c>
      <c r="H3" s="6" t="s">
        <v>49</v>
      </c>
      <c r="I3" s="6" t="s">
        <v>50</v>
      </c>
      <c r="J3" s="6" t="s">
        <v>51</v>
      </c>
      <c r="K3" s="6" t="s">
        <v>7</v>
      </c>
      <c r="L3" s="6" t="s">
        <v>39</v>
      </c>
    </row>
    <row r="4" spans="1:12" ht="24" x14ac:dyDescent="0.3">
      <c r="A4" s="2">
        <v>1</v>
      </c>
      <c r="B4" s="28" t="s">
        <v>473</v>
      </c>
      <c r="C4" s="28" t="s">
        <v>474</v>
      </c>
      <c r="D4" s="28" t="s">
        <v>475</v>
      </c>
      <c r="E4" s="28" t="s">
        <v>476</v>
      </c>
      <c r="F4" s="28" t="s">
        <v>96</v>
      </c>
      <c r="G4" s="29" t="s">
        <v>477</v>
      </c>
      <c r="H4" s="28" t="s">
        <v>478</v>
      </c>
      <c r="I4" s="28" t="s">
        <v>115</v>
      </c>
      <c r="J4" s="28" t="s">
        <v>52</v>
      </c>
      <c r="K4" s="28" t="s">
        <v>59</v>
      </c>
      <c r="L4" s="28" t="s">
        <v>197</v>
      </c>
    </row>
    <row r="5" spans="1:12" ht="24" x14ac:dyDescent="0.3">
      <c r="A5" s="2">
        <v>2</v>
      </c>
      <c r="B5" s="28" t="s">
        <v>479</v>
      </c>
      <c r="C5" s="28" t="s">
        <v>480</v>
      </c>
      <c r="D5" s="28" t="s">
        <v>481</v>
      </c>
      <c r="E5" s="28" t="s">
        <v>482</v>
      </c>
      <c r="F5" s="28" t="s">
        <v>96</v>
      </c>
      <c r="G5" s="29" t="s">
        <v>483</v>
      </c>
      <c r="H5" s="28" t="s">
        <v>484</v>
      </c>
      <c r="I5" s="28" t="s">
        <v>115</v>
      </c>
      <c r="J5" s="28" t="s">
        <v>52</v>
      </c>
      <c r="K5" s="28" t="s">
        <v>59</v>
      </c>
      <c r="L5" s="28" t="s">
        <v>485</v>
      </c>
    </row>
    <row r="6" spans="1:12" ht="24" x14ac:dyDescent="0.3">
      <c r="A6" s="2">
        <v>3</v>
      </c>
      <c r="B6" s="28" t="s">
        <v>486</v>
      </c>
      <c r="C6" s="28" t="s">
        <v>487</v>
      </c>
      <c r="D6" s="28" t="s">
        <v>488</v>
      </c>
      <c r="E6" s="28" t="s">
        <v>489</v>
      </c>
      <c r="F6" s="28" t="s">
        <v>96</v>
      </c>
      <c r="G6" s="29" t="s">
        <v>490</v>
      </c>
      <c r="H6" s="28" t="s">
        <v>491</v>
      </c>
      <c r="I6" s="28" t="s">
        <v>115</v>
      </c>
      <c r="J6" s="28" t="s">
        <v>52</v>
      </c>
      <c r="K6" s="28" t="s">
        <v>59</v>
      </c>
      <c r="L6" s="28" t="s">
        <v>485</v>
      </c>
    </row>
    <row r="7" spans="1:12" ht="24" x14ac:dyDescent="0.3">
      <c r="A7" s="2">
        <v>4</v>
      </c>
      <c r="B7" s="28" t="s">
        <v>473</v>
      </c>
      <c r="C7" s="28" t="s">
        <v>492</v>
      </c>
      <c r="D7" s="28" t="s">
        <v>493</v>
      </c>
      <c r="E7" s="28" t="s">
        <v>494</v>
      </c>
      <c r="F7" s="28" t="s">
        <v>96</v>
      </c>
      <c r="G7" s="29" t="s">
        <v>495</v>
      </c>
      <c r="H7" s="28" t="s">
        <v>496</v>
      </c>
      <c r="I7" s="2"/>
      <c r="J7" s="2"/>
      <c r="K7" s="2"/>
      <c r="L7" s="28" t="s">
        <v>179</v>
      </c>
    </row>
    <row r="8" spans="1:12" ht="24" x14ac:dyDescent="0.3">
      <c r="A8" s="2">
        <v>5</v>
      </c>
      <c r="B8" s="28" t="s">
        <v>473</v>
      </c>
      <c r="C8" s="28" t="s">
        <v>497</v>
      </c>
      <c r="D8" s="28" t="s">
        <v>498</v>
      </c>
      <c r="E8" s="28" t="s">
        <v>499</v>
      </c>
      <c r="F8" s="28" t="s">
        <v>500</v>
      </c>
      <c r="G8" s="29" t="s">
        <v>501</v>
      </c>
      <c r="H8" s="28" t="s">
        <v>502</v>
      </c>
      <c r="I8" s="2"/>
      <c r="J8" s="2"/>
      <c r="K8" s="2"/>
      <c r="L8" s="2"/>
    </row>
    <row r="9" spans="1:12" ht="62.45" customHeight="1" x14ac:dyDescent="0.3">
      <c r="A9"/>
      <c r="B9"/>
      <c r="C9"/>
      <c r="D9"/>
      <c r="E9"/>
      <c r="F9"/>
      <c r="G9"/>
      <c r="H9"/>
      <c r="I9"/>
      <c r="J9"/>
      <c r="K9"/>
      <c r="L9"/>
    </row>
    <row r="10" spans="1:12" ht="51.75" customHeight="1" x14ac:dyDescent="0.3">
      <c r="A10"/>
      <c r="B10"/>
      <c r="C10"/>
      <c r="D10"/>
      <c r="E10"/>
      <c r="F10"/>
      <c r="G10"/>
      <c r="H10"/>
      <c r="I10"/>
      <c r="J10"/>
      <c r="K10"/>
      <c r="L10"/>
    </row>
    <row r="11" spans="1:12" ht="51.75" customHeight="1" x14ac:dyDescent="0.3">
      <c r="A11"/>
      <c r="B11"/>
      <c r="C11"/>
      <c r="D11"/>
      <c r="E11"/>
      <c r="F11"/>
      <c r="G11"/>
      <c r="H11"/>
      <c r="I11"/>
      <c r="J11"/>
      <c r="K11"/>
      <c r="L11"/>
    </row>
    <row r="12" spans="1:12" ht="51.75" customHeight="1" x14ac:dyDescent="0.3">
      <c r="A12"/>
      <c r="B12"/>
      <c r="C12"/>
      <c r="D12"/>
      <c r="E12"/>
      <c r="F12"/>
      <c r="G12"/>
      <c r="H12"/>
      <c r="I12"/>
      <c r="J12"/>
      <c r="K12"/>
      <c r="L12"/>
    </row>
    <row r="13" spans="1:12" ht="51.75" customHeight="1" x14ac:dyDescent="0.3">
      <c r="A13"/>
      <c r="B13"/>
      <c r="C13"/>
      <c r="D13"/>
      <c r="E13"/>
      <c r="F13"/>
      <c r="G13"/>
      <c r="H13"/>
      <c r="I13"/>
      <c r="J13"/>
      <c r="K13"/>
      <c r="L13"/>
    </row>
    <row r="14" spans="1:12" ht="51.75" customHeight="1" x14ac:dyDescent="0.3">
      <c r="A14"/>
      <c r="B14"/>
      <c r="C14"/>
      <c r="D14"/>
      <c r="E14"/>
      <c r="F14"/>
      <c r="G14"/>
      <c r="H14"/>
      <c r="I14"/>
      <c r="J14"/>
      <c r="K14"/>
      <c r="L14"/>
    </row>
    <row r="15" spans="1:12" ht="51.75" customHeight="1" x14ac:dyDescent="0.3">
      <c r="A15"/>
      <c r="B15"/>
      <c r="C15"/>
      <c r="D15"/>
      <c r="E15"/>
      <c r="F15"/>
      <c r="G15"/>
      <c r="H15"/>
      <c r="I15"/>
      <c r="J15"/>
      <c r="K15"/>
      <c r="L15"/>
    </row>
    <row r="16" spans="1:12" ht="76.5" customHeight="1" x14ac:dyDescent="0.3">
      <c r="A16"/>
      <c r="B16"/>
      <c r="C16"/>
      <c r="D16"/>
      <c r="E16"/>
      <c r="F16"/>
      <c r="G16"/>
      <c r="H16"/>
      <c r="I16"/>
      <c r="J16"/>
      <c r="K16"/>
      <c r="L16"/>
    </row>
    <row r="17" spans="1:12" ht="19.5" customHeight="1" x14ac:dyDescent="0.3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3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3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3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3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3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3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3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3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3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3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3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3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3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3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3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3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3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3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3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3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3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3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3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3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3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3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3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3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3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3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3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3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3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3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3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3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3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3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3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3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3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3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3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3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3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3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3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3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3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3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3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3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3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3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3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3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3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3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3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3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3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3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3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3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3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3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3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3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3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3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3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3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3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3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3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3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3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3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3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3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3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3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3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3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3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3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3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3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3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3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3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3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3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3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3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3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3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3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3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3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3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3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3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3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3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3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3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3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3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3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3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3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3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3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3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3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3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3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3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3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3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3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3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3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3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3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3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3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3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3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3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3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3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3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3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3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3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3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3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3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3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3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3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3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3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3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3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3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3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3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3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3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3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3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3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3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3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3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3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3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3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3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3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3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3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3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3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3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3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3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3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3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3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3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3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3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3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3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3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3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3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3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3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2" type="noConversion"/>
  <conditionalFormatting sqref="J4:J8">
    <cfRule type="cellIs" dxfId="2" priority="1" operator="equal">
      <formula>"Fail"</formula>
    </cfRule>
  </conditionalFormatting>
  <dataValidations count="1">
    <dataValidation type="list" allowBlank="1" showInputMessage="1" showErrorMessage="1" sqref="J4:J8" xr:uid="{5FD94221-7AA5-481D-A346-98937BC3833C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E556-85F6-495E-86F7-40534B26DF28}">
  <dimension ref="A1:L200"/>
  <sheetViews>
    <sheetView topLeftCell="C1" zoomScaleNormal="100" workbookViewId="0">
      <pane ySplit="3" topLeftCell="A7" activePane="bottomLeft" state="frozen"/>
      <selection activeCell="M7" sqref="M7"/>
      <selection pane="bottomLeft" activeCell="T7" sqref="T7"/>
    </sheetView>
  </sheetViews>
  <sheetFormatPr defaultColWidth="8.7109375" defaultRowHeight="16.5" x14ac:dyDescent="0.3"/>
  <cols>
    <col min="1" max="1" width="9.42578125" style="14" customWidth="1"/>
    <col min="2" max="2" width="22" style="14" customWidth="1"/>
    <col min="3" max="3" width="32.42578125" style="14" customWidth="1"/>
    <col min="4" max="4" width="14" style="14" customWidth="1"/>
    <col min="5" max="5" width="42" style="14" customWidth="1"/>
    <col min="6" max="6" width="35.7109375" style="14" customWidth="1"/>
    <col min="7" max="7" width="40.28515625" style="14" customWidth="1"/>
    <col min="8" max="8" width="51.140625" style="14" customWidth="1"/>
    <col min="9" max="9" width="25.85546875" style="14" customWidth="1"/>
    <col min="10" max="10" width="9.85546875" style="14" bestFit="1" customWidth="1"/>
    <col min="11" max="11" width="7.42578125" style="14" bestFit="1" customWidth="1"/>
    <col min="12" max="12" width="21.5703125" style="14" customWidth="1"/>
    <col min="13" max="13" width="8.7109375" style="14" customWidth="1"/>
    <col min="14" max="16384" width="8.7109375" style="14"/>
  </cols>
  <sheetData>
    <row r="1" spans="1:12" ht="36" customHeight="1" x14ac:dyDescent="0.3">
      <c r="A1" s="72" t="s">
        <v>41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21.75" customHeight="1" x14ac:dyDescent="0.3">
      <c r="A2" s="5" t="s">
        <v>1</v>
      </c>
      <c r="B2" s="27" t="s">
        <v>55</v>
      </c>
      <c r="D2" s="5" t="s">
        <v>2</v>
      </c>
      <c r="E2" s="27" t="s">
        <v>57</v>
      </c>
      <c r="G2" s="5" t="s">
        <v>27</v>
      </c>
      <c r="H2" s="27" t="s">
        <v>58</v>
      </c>
      <c r="J2" s="5" t="s">
        <v>28</v>
      </c>
      <c r="K2" s="27" t="s">
        <v>59</v>
      </c>
    </row>
    <row r="3" spans="1:12" ht="30" customHeight="1" x14ac:dyDescent="0.3">
      <c r="A3" s="6" t="s">
        <v>42</v>
      </c>
      <c r="B3" s="6" t="s">
        <v>43</v>
      </c>
      <c r="C3" s="6" t="s">
        <v>44</v>
      </c>
      <c r="D3" s="6" t="s">
        <v>45</v>
      </c>
      <c r="E3" s="6" t="s">
        <v>46</v>
      </c>
      <c r="F3" s="6" t="s">
        <v>47</v>
      </c>
      <c r="G3" s="6" t="s">
        <v>48</v>
      </c>
      <c r="H3" s="6" t="s">
        <v>49</v>
      </c>
      <c r="I3" s="6" t="s">
        <v>50</v>
      </c>
      <c r="J3" s="6" t="s">
        <v>51</v>
      </c>
      <c r="K3" s="6" t="s">
        <v>7</v>
      </c>
      <c r="L3" s="6" t="s">
        <v>39</v>
      </c>
    </row>
    <row r="4" spans="1:12" ht="36" x14ac:dyDescent="0.3">
      <c r="A4" s="2">
        <v>1</v>
      </c>
      <c r="B4" s="28" t="s">
        <v>503</v>
      </c>
      <c r="C4" s="28" t="s">
        <v>504</v>
      </c>
      <c r="D4" s="28" t="s">
        <v>505</v>
      </c>
      <c r="E4" s="28" t="s">
        <v>506</v>
      </c>
      <c r="F4" s="28" t="s">
        <v>507</v>
      </c>
      <c r="G4" s="29" t="s">
        <v>508</v>
      </c>
      <c r="H4" s="28" t="s">
        <v>509</v>
      </c>
      <c r="I4" s="28" t="s">
        <v>115</v>
      </c>
      <c r="J4" s="28" t="s">
        <v>52</v>
      </c>
      <c r="K4" s="28" t="s">
        <v>59</v>
      </c>
      <c r="L4" s="28" t="s">
        <v>510</v>
      </c>
    </row>
    <row r="5" spans="1:12" ht="24" x14ac:dyDescent="0.3">
      <c r="A5" s="2">
        <v>2</v>
      </c>
      <c r="B5" s="28" t="s">
        <v>503</v>
      </c>
      <c r="C5" s="28" t="s">
        <v>511</v>
      </c>
      <c r="D5" s="28" t="s">
        <v>512</v>
      </c>
      <c r="E5" s="28" t="s">
        <v>513</v>
      </c>
      <c r="F5" s="28" t="s">
        <v>514</v>
      </c>
      <c r="G5" s="29" t="s">
        <v>515</v>
      </c>
      <c r="H5" s="28" t="s">
        <v>516</v>
      </c>
      <c r="I5" s="28" t="s">
        <v>115</v>
      </c>
      <c r="J5" s="28" t="s">
        <v>52</v>
      </c>
      <c r="K5" s="28" t="s">
        <v>59</v>
      </c>
      <c r="L5" s="28" t="s">
        <v>510</v>
      </c>
    </row>
    <row r="6" spans="1:12" ht="24" x14ac:dyDescent="0.3">
      <c r="A6" s="2">
        <v>3</v>
      </c>
      <c r="B6" s="28" t="s">
        <v>517</v>
      </c>
      <c r="C6" s="28" t="s">
        <v>518</v>
      </c>
      <c r="D6" s="28" t="s">
        <v>519</v>
      </c>
      <c r="E6" s="28" t="s">
        <v>520</v>
      </c>
      <c r="F6" s="28" t="s">
        <v>521</v>
      </c>
      <c r="G6" s="29" t="s">
        <v>522</v>
      </c>
      <c r="H6" s="28" t="s">
        <v>523</v>
      </c>
      <c r="I6" s="2"/>
      <c r="J6" s="2"/>
      <c r="K6" s="2"/>
      <c r="L6" s="2"/>
    </row>
    <row r="7" spans="1:12" ht="24" x14ac:dyDescent="0.3">
      <c r="A7" s="2">
        <v>4</v>
      </c>
      <c r="B7" s="28" t="s">
        <v>524</v>
      </c>
      <c r="C7" s="28" t="s">
        <v>525</v>
      </c>
      <c r="D7" s="28" t="s">
        <v>526</v>
      </c>
      <c r="E7" s="28" t="s">
        <v>527</v>
      </c>
      <c r="F7" s="28" t="s">
        <v>528</v>
      </c>
      <c r="G7" s="29" t="s">
        <v>529</v>
      </c>
      <c r="H7" s="28" t="s">
        <v>530</v>
      </c>
      <c r="I7" s="2"/>
      <c r="J7" s="2"/>
      <c r="K7" s="2"/>
      <c r="L7" s="28" t="s">
        <v>350</v>
      </c>
    </row>
    <row r="8" spans="1:12" ht="24" x14ac:dyDescent="0.3">
      <c r="A8" s="2">
        <v>5</v>
      </c>
      <c r="B8" s="28" t="s">
        <v>531</v>
      </c>
      <c r="C8" s="28" t="s">
        <v>532</v>
      </c>
      <c r="D8" s="28" t="s">
        <v>533</v>
      </c>
      <c r="E8" s="28" t="s">
        <v>534</v>
      </c>
      <c r="F8" s="28" t="s">
        <v>535</v>
      </c>
      <c r="G8" s="29" t="s">
        <v>536</v>
      </c>
      <c r="H8" s="28" t="s">
        <v>537</v>
      </c>
      <c r="I8" s="2"/>
      <c r="J8" s="2"/>
      <c r="K8" s="2"/>
      <c r="L8" s="28" t="s">
        <v>338</v>
      </c>
    </row>
    <row r="9" spans="1:12" ht="24" x14ac:dyDescent="0.3">
      <c r="A9" s="2">
        <v>6</v>
      </c>
      <c r="B9" s="28" t="s">
        <v>531</v>
      </c>
      <c r="C9" s="28" t="s">
        <v>538</v>
      </c>
      <c r="D9" s="28" t="s">
        <v>539</v>
      </c>
      <c r="E9" s="28" t="s">
        <v>540</v>
      </c>
      <c r="F9" s="28" t="s">
        <v>541</v>
      </c>
      <c r="G9" s="29" t="s">
        <v>542</v>
      </c>
      <c r="H9" s="28" t="s">
        <v>543</v>
      </c>
      <c r="I9" s="2"/>
      <c r="J9" s="2"/>
      <c r="K9" s="2"/>
      <c r="L9" s="2"/>
    </row>
    <row r="10" spans="1:12" ht="24" x14ac:dyDescent="0.3">
      <c r="A10" s="2">
        <v>7</v>
      </c>
      <c r="B10" s="28" t="s">
        <v>531</v>
      </c>
      <c r="C10" s="28" t="s">
        <v>544</v>
      </c>
      <c r="D10" s="28" t="s">
        <v>545</v>
      </c>
      <c r="E10" s="28" t="s">
        <v>546</v>
      </c>
      <c r="F10" s="28" t="s">
        <v>547</v>
      </c>
      <c r="G10" s="29" t="s">
        <v>548</v>
      </c>
      <c r="H10" s="28" t="s">
        <v>549</v>
      </c>
      <c r="I10" s="2"/>
      <c r="J10" s="2"/>
      <c r="K10" s="2"/>
      <c r="L10" s="2"/>
    </row>
    <row r="11" spans="1:12" ht="51.75" customHeight="1" x14ac:dyDescent="0.3">
      <c r="A11"/>
      <c r="B11"/>
      <c r="C11"/>
      <c r="D11"/>
      <c r="E11"/>
      <c r="F11"/>
      <c r="G11"/>
      <c r="H11"/>
      <c r="I11"/>
      <c r="J11"/>
      <c r="K11"/>
      <c r="L11"/>
    </row>
    <row r="12" spans="1:12" ht="51.75" customHeight="1" x14ac:dyDescent="0.3">
      <c r="A12"/>
      <c r="B12"/>
      <c r="C12"/>
      <c r="D12"/>
      <c r="E12"/>
      <c r="F12"/>
      <c r="G12"/>
      <c r="H12"/>
      <c r="I12"/>
      <c r="J12"/>
      <c r="K12"/>
      <c r="L12"/>
    </row>
    <row r="13" spans="1:12" ht="51.75" customHeight="1" x14ac:dyDescent="0.3">
      <c r="A13"/>
      <c r="B13"/>
      <c r="C13"/>
      <c r="D13"/>
      <c r="E13"/>
      <c r="F13"/>
      <c r="G13"/>
      <c r="H13"/>
      <c r="I13"/>
      <c r="J13"/>
      <c r="K13"/>
      <c r="L13"/>
    </row>
    <row r="14" spans="1:12" ht="51.75" customHeight="1" x14ac:dyDescent="0.3">
      <c r="A14"/>
      <c r="B14"/>
      <c r="C14"/>
      <c r="D14"/>
      <c r="E14"/>
      <c r="F14"/>
      <c r="G14"/>
      <c r="H14"/>
      <c r="I14"/>
      <c r="J14"/>
      <c r="K14"/>
      <c r="L14"/>
    </row>
    <row r="15" spans="1:12" ht="51.75" customHeight="1" x14ac:dyDescent="0.3">
      <c r="A15"/>
      <c r="B15"/>
      <c r="C15"/>
      <c r="D15"/>
      <c r="E15"/>
      <c r="F15"/>
      <c r="G15"/>
      <c r="H15"/>
      <c r="I15"/>
      <c r="J15"/>
      <c r="K15"/>
      <c r="L15"/>
    </row>
    <row r="16" spans="1:12" ht="76.5" customHeight="1" x14ac:dyDescent="0.3">
      <c r="A16"/>
      <c r="B16"/>
      <c r="C16"/>
      <c r="D16"/>
      <c r="E16"/>
      <c r="F16"/>
      <c r="G16"/>
      <c r="H16"/>
      <c r="I16"/>
      <c r="J16"/>
      <c r="K16"/>
      <c r="L16"/>
    </row>
    <row r="17" spans="1:12" ht="19.5" customHeight="1" x14ac:dyDescent="0.3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3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3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3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3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3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3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3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3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3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3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3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3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3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3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3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3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3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3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3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3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3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3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3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3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3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3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3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3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3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3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3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3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3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3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3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3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3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3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3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3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3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3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3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3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3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3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3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3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3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3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3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3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3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3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3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3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3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3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3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3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3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3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3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3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3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3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3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3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3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3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3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3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3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3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3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3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3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3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3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3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3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3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3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3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3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3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3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3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3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3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3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3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3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3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3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3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3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3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3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3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3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3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3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3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3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3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3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3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3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3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3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3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3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3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3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3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3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3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3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3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3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3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3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3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3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3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3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3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3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3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3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3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3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3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3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3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3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3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3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3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3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3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3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3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3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3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3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3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3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3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3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3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3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3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3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3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3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3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3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3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3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3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3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3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3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3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3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3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3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3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3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3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3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3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3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3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3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3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3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3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3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3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3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2" type="noConversion"/>
  <conditionalFormatting sqref="J4:J10">
    <cfRule type="cellIs" dxfId="1" priority="1" operator="equal">
      <formula>"Fail"</formula>
    </cfRule>
  </conditionalFormatting>
  <dataValidations count="1">
    <dataValidation type="list" allowBlank="1" showInputMessage="1" showErrorMessage="1" sqref="J4:J10" xr:uid="{743978F0-E951-4FAB-A4FB-CDBBA86BD62F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9A54-C636-45FD-8F1F-555F9CA5356F}">
  <dimension ref="A1:L200"/>
  <sheetViews>
    <sheetView topLeftCell="C1" zoomScaleNormal="100" workbookViewId="0">
      <pane ySplit="3" topLeftCell="A7" activePane="bottomLeft" state="frozen"/>
      <selection activeCell="M7" sqref="M7"/>
      <selection pane="bottomLeft" activeCell="T7" sqref="T7"/>
    </sheetView>
  </sheetViews>
  <sheetFormatPr defaultColWidth="8.7109375" defaultRowHeight="16.5" x14ac:dyDescent="0.3"/>
  <cols>
    <col min="1" max="1" width="9.42578125" style="14" customWidth="1"/>
    <col min="2" max="2" width="22" style="14" customWidth="1"/>
    <col min="3" max="3" width="32.42578125" style="14" customWidth="1"/>
    <col min="4" max="4" width="14" style="14" customWidth="1"/>
    <col min="5" max="5" width="42" style="14" customWidth="1"/>
    <col min="6" max="6" width="35.7109375" style="14" customWidth="1"/>
    <col min="7" max="7" width="40.28515625" style="14" customWidth="1"/>
    <col min="8" max="8" width="51.140625" style="14" customWidth="1"/>
    <col min="9" max="9" width="25.85546875" style="14" customWidth="1"/>
    <col min="10" max="10" width="9.85546875" style="14" bestFit="1" customWidth="1"/>
    <col min="11" max="11" width="7.42578125" style="14" bestFit="1" customWidth="1"/>
    <col min="12" max="12" width="21.5703125" style="14" customWidth="1"/>
    <col min="13" max="13" width="8.7109375" style="14" customWidth="1"/>
    <col min="14" max="16384" width="8.7109375" style="14"/>
  </cols>
  <sheetData>
    <row r="1" spans="1:12" ht="36" customHeight="1" x14ac:dyDescent="0.3">
      <c r="A1" s="72" t="s">
        <v>41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21.75" customHeight="1" x14ac:dyDescent="0.3">
      <c r="A2" s="5" t="s">
        <v>1</v>
      </c>
      <c r="B2" s="27" t="s">
        <v>55</v>
      </c>
      <c r="D2" s="5" t="s">
        <v>2</v>
      </c>
      <c r="E2" s="27" t="s">
        <v>57</v>
      </c>
      <c r="G2" s="5" t="s">
        <v>27</v>
      </c>
      <c r="H2" s="27" t="s">
        <v>58</v>
      </c>
      <c r="J2" s="5" t="s">
        <v>28</v>
      </c>
      <c r="K2" s="27" t="s">
        <v>59</v>
      </c>
    </row>
    <row r="3" spans="1:12" ht="30" customHeight="1" x14ac:dyDescent="0.3">
      <c r="A3" s="6" t="s">
        <v>42</v>
      </c>
      <c r="B3" s="6" t="s">
        <v>43</v>
      </c>
      <c r="C3" s="6" t="s">
        <v>44</v>
      </c>
      <c r="D3" s="6" t="s">
        <v>45</v>
      </c>
      <c r="E3" s="6" t="s">
        <v>46</v>
      </c>
      <c r="F3" s="6" t="s">
        <v>47</v>
      </c>
      <c r="G3" s="6" t="s">
        <v>48</v>
      </c>
      <c r="H3" s="6" t="s">
        <v>49</v>
      </c>
      <c r="I3" s="6" t="s">
        <v>50</v>
      </c>
      <c r="J3" s="6" t="s">
        <v>51</v>
      </c>
      <c r="K3" s="6" t="s">
        <v>7</v>
      </c>
      <c r="L3" s="6" t="s">
        <v>39</v>
      </c>
    </row>
    <row r="4" spans="1:12" ht="24" x14ac:dyDescent="0.3">
      <c r="A4" s="2">
        <v>1</v>
      </c>
      <c r="B4" s="28" t="s">
        <v>550</v>
      </c>
      <c r="C4" s="28" t="s">
        <v>551</v>
      </c>
      <c r="D4" s="28" t="s">
        <v>552</v>
      </c>
      <c r="E4" s="28" t="s">
        <v>553</v>
      </c>
      <c r="F4" s="28" t="s">
        <v>232</v>
      </c>
      <c r="G4" s="29" t="s">
        <v>554</v>
      </c>
      <c r="H4" s="28" t="s">
        <v>555</v>
      </c>
      <c r="I4" s="2"/>
      <c r="J4" s="2"/>
      <c r="K4" s="2"/>
      <c r="L4" s="28" t="s">
        <v>92</v>
      </c>
    </row>
    <row r="5" spans="1:12" ht="24" x14ac:dyDescent="0.3">
      <c r="A5" s="2">
        <v>2</v>
      </c>
      <c r="B5" s="28" t="s">
        <v>556</v>
      </c>
      <c r="C5" s="28" t="s">
        <v>557</v>
      </c>
      <c r="D5" s="28" t="s">
        <v>558</v>
      </c>
      <c r="E5" s="28" t="s">
        <v>559</v>
      </c>
      <c r="F5" s="28" t="s">
        <v>232</v>
      </c>
      <c r="G5" s="29" t="s">
        <v>560</v>
      </c>
      <c r="H5" s="28" t="s">
        <v>561</v>
      </c>
      <c r="I5" s="2"/>
      <c r="J5" s="2"/>
      <c r="K5" s="2"/>
      <c r="L5" s="28" t="s">
        <v>92</v>
      </c>
    </row>
    <row r="6" spans="1:12" x14ac:dyDescent="0.3">
      <c r="A6" s="2">
        <v>3</v>
      </c>
      <c r="B6" s="28" t="s">
        <v>562</v>
      </c>
      <c r="C6" s="28" t="s">
        <v>563</v>
      </c>
      <c r="D6" s="28" t="s">
        <v>564</v>
      </c>
      <c r="E6" s="28" t="s">
        <v>565</v>
      </c>
      <c r="F6" s="28" t="s">
        <v>149</v>
      </c>
      <c r="G6" s="29" t="s">
        <v>548</v>
      </c>
      <c r="H6" s="28" t="s">
        <v>566</v>
      </c>
      <c r="I6" s="2"/>
      <c r="J6" s="2"/>
      <c r="K6" s="2"/>
      <c r="L6" s="2"/>
    </row>
    <row r="7" spans="1:12" ht="24" x14ac:dyDescent="0.3">
      <c r="A7" s="2">
        <v>4</v>
      </c>
      <c r="B7" s="28" t="s">
        <v>567</v>
      </c>
      <c r="C7" s="28" t="s">
        <v>568</v>
      </c>
      <c r="D7" s="28" t="s">
        <v>569</v>
      </c>
      <c r="E7" s="28" t="s">
        <v>570</v>
      </c>
      <c r="F7" s="28" t="s">
        <v>232</v>
      </c>
      <c r="G7" s="29" t="s">
        <v>571</v>
      </c>
      <c r="H7" s="28" t="s">
        <v>572</v>
      </c>
      <c r="I7" s="2"/>
      <c r="J7" s="2"/>
      <c r="K7" s="2"/>
      <c r="L7" s="2"/>
    </row>
    <row r="8" spans="1:12" ht="64.150000000000006" customHeight="1" x14ac:dyDescent="0.3">
      <c r="A8"/>
      <c r="B8"/>
      <c r="C8"/>
      <c r="D8"/>
      <c r="E8"/>
      <c r="F8"/>
      <c r="G8"/>
      <c r="H8"/>
      <c r="I8"/>
      <c r="J8"/>
      <c r="K8"/>
      <c r="L8"/>
    </row>
    <row r="9" spans="1:12" ht="62.45" customHeight="1" x14ac:dyDescent="0.3">
      <c r="A9"/>
      <c r="B9"/>
      <c r="C9"/>
      <c r="D9"/>
      <c r="E9"/>
      <c r="F9"/>
      <c r="G9"/>
      <c r="H9"/>
      <c r="I9"/>
      <c r="J9"/>
      <c r="K9"/>
      <c r="L9"/>
    </row>
    <row r="10" spans="1:12" ht="51.75" customHeight="1" x14ac:dyDescent="0.3">
      <c r="A10"/>
      <c r="B10"/>
      <c r="C10"/>
      <c r="D10"/>
      <c r="E10"/>
      <c r="F10"/>
      <c r="G10"/>
      <c r="H10"/>
      <c r="I10"/>
      <c r="J10"/>
      <c r="K10"/>
      <c r="L10"/>
    </row>
    <row r="11" spans="1:12" ht="51.75" customHeight="1" x14ac:dyDescent="0.3">
      <c r="A11"/>
      <c r="B11"/>
      <c r="C11"/>
      <c r="D11"/>
      <c r="E11"/>
      <c r="F11"/>
      <c r="G11"/>
      <c r="H11"/>
      <c r="I11"/>
      <c r="J11"/>
      <c r="K11"/>
      <c r="L11"/>
    </row>
    <row r="12" spans="1:12" ht="51.75" customHeight="1" x14ac:dyDescent="0.3">
      <c r="A12"/>
      <c r="B12"/>
      <c r="C12"/>
      <c r="D12"/>
      <c r="E12"/>
      <c r="F12"/>
      <c r="G12"/>
      <c r="H12"/>
      <c r="I12"/>
      <c r="J12"/>
      <c r="K12"/>
      <c r="L12"/>
    </row>
    <row r="13" spans="1:12" ht="51.75" customHeight="1" x14ac:dyDescent="0.3">
      <c r="A13"/>
      <c r="B13"/>
      <c r="C13"/>
      <c r="D13"/>
      <c r="E13"/>
      <c r="F13"/>
      <c r="G13"/>
      <c r="H13"/>
      <c r="I13"/>
      <c r="J13"/>
      <c r="K13"/>
      <c r="L13"/>
    </row>
    <row r="14" spans="1:12" ht="51.75" customHeight="1" x14ac:dyDescent="0.3">
      <c r="A14"/>
      <c r="B14"/>
      <c r="C14"/>
      <c r="D14"/>
      <c r="E14"/>
      <c r="F14"/>
      <c r="G14"/>
      <c r="H14"/>
      <c r="I14"/>
      <c r="J14"/>
      <c r="K14"/>
      <c r="L14"/>
    </row>
    <row r="15" spans="1:12" ht="51.75" customHeight="1" x14ac:dyDescent="0.3">
      <c r="A15"/>
      <c r="B15"/>
      <c r="C15"/>
      <c r="D15"/>
      <c r="E15"/>
      <c r="F15"/>
      <c r="G15"/>
      <c r="H15"/>
      <c r="I15"/>
      <c r="J15"/>
      <c r="K15"/>
      <c r="L15"/>
    </row>
    <row r="16" spans="1:12" ht="76.5" customHeight="1" x14ac:dyDescent="0.3">
      <c r="A16"/>
      <c r="B16"/>
      <c r="C16"/>
      <c r="D16"/>
      <c r="E16"/>
      <c r="F16"/>
      <c r="G16"/>
      <c r="H16"/>
      <c r="I16"/>
      <c r="J16"/>
      <c r="K16"/>
      <c r="L16"/>
    </row>
    <row r="17" spans="1:12" ht="19.5" customHeight="1" x14ac:dyDescent="0.3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3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3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3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3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3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3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3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3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3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3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3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3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3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3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3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3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3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3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3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3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3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3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3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3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3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3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3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3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3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3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3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3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3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3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3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3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3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3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3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3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3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3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3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3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3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3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3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3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3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3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3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3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3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3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3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3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3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3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3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3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3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3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3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3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3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3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3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3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3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3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3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3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3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3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3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3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3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3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3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3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3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3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3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3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3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3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3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3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3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3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3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3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3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3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3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3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3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3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3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3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3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3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3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3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3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3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3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3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3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3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3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3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3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3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3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3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3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3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3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3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3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3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3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3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3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3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3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3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3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3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3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3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3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3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3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3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3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3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3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3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3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3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3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3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3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3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3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3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3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3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3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3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3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3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3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3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3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3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3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3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3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3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3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3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3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3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3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3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3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3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3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3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3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3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3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3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3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3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3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3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3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3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3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2" type="noConversion"/>
  <conditionalFormatting sqref="J4:J7">
    <cfRule type="cellIs" dxfId="0" priority="1" operator="equal">
      <formula>"Fail"</formula>
    </cfRule>
  </conditionalFormatting>
  <dataValidations count="1">
    <dataValidation type="list" allowBlank="1" showInputMessage="1" showErrorMessage="1" sqref="J4:J7" xr:uid="{2F1BC247-0C3E-43F0-9430-68A5911CC4B5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B6"/>
  <sheetViews>
    <sheetView workbookViewId="0">
      <selection activeCell="D5" sqref="D5"/>
    </sheetView>
  </sheetViews>
  <sheetFormatPr defaultColWidth="8.85546875" defaultRowHeight="15" x14ac:dyDescent="0.25"/>
  <cols>
    <col min="1" max="1" width="8.85546875" style="1" customWidth="1"/>
    <col min="2" max="2" width="11.28515625" style="1" customWidth="1"/>
    <col min="3" max="3" width="8.85546875" style="1" customWidth="1"/>
    <col min="4" max="16384" width="8.85546875" style="1"/>
  </cols>
  <sheetData>
    <row r="2" spans="2:2" x14ac:dyDescent="0.25">
      <c r="B2" s="12" t="s">
        <v>51</v>
      </c>
    </row>
    <row r="3" spans="2:2" ht="18" customHeight="1" x14ac:dyDescent="0.35">
      <c r="B3" s="13" t="s">
        <v>52</v>
      </c>
    </row>
    <row r="4" spans="2:2" ht="18" customHeight="1" x14ac:dyDescent="0.35">
      <c r="B4" s="13" t="s">
        <v>54</v>
      </c>
    </row>
    <row r="5" spans="2:2" ht="18" customHeight="1" x14ac:dyDescent="0.35">
      <c r="B5" s="13" t="s">
        <v>53</v>
      </c>
    </row>
    <row r="6" spans="2:2" x14ac:dyDescent="0.25">
      <c r="B6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BA6AA-C429-49B1-8F20-EEB4DB1AF744}">
  <dimension ref="A1:I288"/>
  <sheetViews>
    <sheetView workbookViewId="0"/>
  </sheetViews>
  <sheetFormatPr defaultRowHeight="15" x14ac:dyDescent="0.25"/>
  <cols>
    <col min="1" max="1" width="30.7109375" customWidth="1"/>
    <col min="2" max="2" width="22.7109375" customWidth="1"/>
    <col min="3" max="3" width="12.7109375" customWidth="1"/>
    <col min="4" max="4" width="26.7109375" customWidth="1"/>
    <col min="5" max="5" width="48.7109375" customWidth="1"/>
    <col min="6" max="6" width="30.7109375" customWidth="1"/>
    <col min="7" max="7" width="40.7109375" customWidth="1"/>
    <col min="8" max="9" width="8.7109375" customWidth="1"/>
  </cols>
  <sheetData>
    <row r="1" spans="1:4" ht="21" x14ac:dyDescent="0.35">
      <c r="A1" s="57" t="s">
        <v>666</v>
      </c>
    </row>
    <row r="2" spans="1:4" x14ac:dyDescent="0.25">
      <c r="A2" s="56" t="s">
        <v>667</v>
      </c>
    </row>
    <row r="3" spans="1:4" x14ac:dyDescent="0.25">
      <c r="A3" s="56" t="s">
        <v>668</v>
      </c>
    </row>
    <row r="12" spans="1:4" x14ac:dyDescent="0.25">
      <c r="A12" s="59" t="s">
        <v>670</v>
      </c>
      <c r="B12" s="59" t="s">
        <v>671</v>
      </c>
      <c r="C12" s="59" t="s">
        <v>672</v>
      </c>
      <c r="D12" s="59" t="s">
        <v>669</v>
      </c>
    </row>
    <row r="13" spans="1:4" x14ac:dyDescent="0.25">
      <c r="A13" s="60" t="s">
        <v>673</v>
      </c>
      <c r="B13" s="61">
        <v>6</v>
      </c>
      <c r="C13" s="61">
        <v>6</v>
      </c>
      <c r="D13" s="62">
        <v>1</v>
      </c>
    </row>
    <row r="14" spans="1:4" x14ac:dyDescent="0.25">
      <c r="A14" s="60" t="s">
        <v>674</v>
      </c>
      <c r="B14" s="61">
        <v>100</v>
      </c>
      <c r="C14" s="61">
        <v>99</v>
      </c>
      <c r="D14" s="62">
        <v>0.99</v>
      </c>
    </row>
    <row r="15" spans="1:4" x14ac:dyDescent="0.25">
      <c r="A15" s="60" t="s">
        <v>675</v>
      </c>
      <c r="B15" s="61">
        <v>28</v>
      </c>
      <c r="C15" s="61">
        <v>28</v>
      </c>
      <c r="D15" s="62">
        <v>1</v>
      </c>
    </row>
    <row r="16" spans="1:4" x14ac:dyDescent="0.25">
      <c r="A16" s="60" t="s">
        <v>676</v>
      </c>
      <c r="B16" s="61">
        <v>23</v>
      </c>
      <c r="C16" s="61">
        <v>22</v>
      </c>
      <c r="D16" s="62">
        <v>0.96</v>
      </c>
    </row>
    <row r="17" spans="1:4" x14ac:dyDescent="0.25">
      <c r="A17" s="60" t="s">
        <v>677</v>
      </c>
      <c r="B17" s="61">
        <v>3</v>
      </c>
      <c r="C17" s="61">
        <v>3</v>
      </c>
      <c r="D17" s="62">
        <v>1</v>
      </c>
    </row>
    <row r="18" spans="1:4" x14ac:dyDescent="0.25">
      <c r="A18" s="60" t="s">
        <v>678</v>
      </c>
      <c r="B18" s="61">
        <v>90</v>
      </c>
      <c r="C18" s="61">
        <v>89</v>
      </c>
      <c r="D18" s="62">
        <v>0.99</v>
      </c>
    </row>
    <row r="19" spans="1:4" x14ac:dyDescent="0.25">
      <c r="A19" s="60" t="s">
        <v>679</v>
      </c>
      <c r="B19" s="61">
        <v>210</v>
      </c>
      <c r="C19" s="61">
        <v>205</v>
      </c>
      <c r="D19" s="62">
        <v>0.98</v>
      </c>
    </row>
    <row r="20" spans="1:4" x14ac:dyDescent="0.25">
      <c r="A20" s="60" t="s">
        <v>680</v>
      </c>
      <c r="B20" s="61">
        <v>102</v>
      </c>
      <c r="C20" s="61">
        <v>88</v>
      </c>
      <c r="D20" s="62">
        <v>0.86</v>
      </c>
    </row>
    <row r="21" spans="1:4" x14ac:dyDescent="0.25">
      <c r="A21" s="60" t="s">
        <v>681</v>
      </c>
      <c r="B21" s="61">
        <v>97</v>
      </c>
      <c r="C21" s="61">
        <v>96</v>
      </c>
      <c r="D21" s="62">
        <v>0.99</v>
      </c>
    </row>
    <row r="22" spans="1:4" x14ac:dyDescent="0.25">
      <c r="A22" s="60" t="s">
        <v>682</v>
      </c>
      <c r="B22" s="61">
        <v>1</v>
      </c>
      <c r="C22" s="61">
        <v>1</v>
      </c>
      <c r="D22" s="62">
        <v>1</v>
      </c>
    </row>
    <row r="23" spans="1:4" x14ac:dyDescent="0.25">
      <c r="A23" s="60" t="s">
        <v>683</v>
      </c>
      <c r="B23" s="61">
        <v>41</v>
      </c>
      <c r="C23" s="61">
        <v>40</v>
      </c>
      <c r="D23" s="62">
        <v>0.98</v>
      </c>
    </row>
    <row r="24" spans="1:4" x14ac:dyDescent="0.25">
      <c r="A24" s="60" t="s">
        <v>684</v>
      </c>
      <c r="B24" s="61">
        <v>62</v>
      </c>
      <c r="C24" s="61">
        <v>60</v>
      </c>
      <c r="D24" s="62">
        <v>0.97</v>
      </c>
    </row>
    <row r="25" spans="1:4" x14ac:dyDescent="0.25">
      <c r="A25" s="60" t="s">
        <v>685</v>
      </c>
      <c r="B25" s="61">
        <v>62</v>
      </c>
      <c r="C25" s="61">
        <v>60</v>
      </c>
      <c r="D25" s="62">
        <v>0.97</v>
      </c>
    </row>
    <row r="26" spans="1:4" x14ac:dyDescent="0.25">
      <c r="A26" s="60" t="s">
        <v>686</v>
      </c>
      <c r="B26" s="61">
        <v>1</v>
      </c>
      <c r="C26" s="61">
        <v>1</v>
      </c>
      <c r="D26" s="62">
        <v>1</v>
      </c>
    </row>
    <row r="27" spans="1:4" x14ac:dyDescent="0.25">
      <c r="A27" s="60" t="s">
        <v>687</v>
      </c>
      <c r="B27" s="61">
        <v>8</v>
      </c>
      <c r="C27" s="61">
        <v>8</v>
      </c>
      <c r="D27" s="62">
        <v>1</v>
      </c>
    </row>
    <row r="28" spans="1:4" x14ac:dyDescent="0.25">
      <c r="A28" s="60" t="s">
        <v>688</v>
      </c>
      <c r="B28" s="61">
        <v>188</v>
      </c>
      <c r="C28" s="61">
        <v>172</v>
      </c>
      <c r="D28" s="62">
        <v>0.91</v>
      </c>
    </row>
    <row r="29" spans="1:4" x14ac:dyDescent="0.25">
      <c r="A29" s="60" t="s">
        <v>689</v>
      </c>
      <c r="B29" s="61">
        <v>69</v>
      </c>
      <c r="C29" s="61">
        <v>66</v>
      </c>
      <c r="D29" s="62">
        <v>0.96</v>
      </c>
    </row>
    <row r="30" spans="1:4" x14ac:dyDescent="0.25">
      <c r="A30" s="60" t="s">
        <v>690</v>
      </c>
      <c r="B30" s="61">
        <v>343</v>
      </c>
      <c r="C30" s="61">
        <v>340</v>
      </c>
      <c r="D30" s="62">
        <v>0.99</v>
      </c>
    </row>
    <row r="31" spans="1:4" x14ac:dyDescent="0.25">
      <c r="A31" s="60" t="s">
        <v>691</v>
      </c>
      <c r="B31" s="61">
        <v>234</v>
      </c>
      <c r="C31" s="61">
        <v>218</v>
      </c>
      <c r="D31" s="62">
        <v>0.93</v>
      </c>
    </row>
    <row r="32" spans="1:4" x14ac:dyDescent="0.25">
      <c r="A32" s="60" t="s">
        <v>692</v>
      </c>
      <c r="B32" s="61">
        <v>53</v>
      </c>
      <c r="C32" s="61">
        <v>53</v>
      </c>
      <c r="D32" s="62">
        <v>1</v>
      </c>
    </row>
    <row r="33" spans="1:4" x14ac:dyDescent="0.25">
      <c r="A33" s="60" t="s">
        <v>693</v>
      </c>
      <c r="B33" s="61">
        <v>6</v>
      </c>
      <c r="C33" s="61">
        <v>6</v>
      </c>
      <c r="D33" s="62">
        <v>1</v>
      </c>
    </row>
    <row r="34" spans="1:4" x14ac:dyDescent="0.25">
      <c r="A34" s="60" t="s">
        <v>694</v>
      </c>
      <c r="B34" s="61">
        <v>23</v>
      </c>
      <c r="C34" s="61">
        <v>23</v>
      </c>
      <c r="D34" s="62">
        <v>1</v>
      </c>
    </row>
    <row r="35" spans="1:4" x14ac:dyDescent="0.25">
      <c r="A35" s="60" t="s">
        <v>695</v>
      </c>
      <c r="B35" s="61">
        <v>6</v>
      </c>
      <c r="C35" s="61">
        <v>6</v>
      </c>
      <c r="D35" s="62">
        <v>1</v>
      </c>
    </row>
    <row r="36" spans="1:4" x14ac:dyDescent="0.25">
      <c r="A36" s="60" t="s">
        <v>696</v>
      </c>
      <c r="B36" s="61">
        <v>341</v>
      </c>
      <c r="C36" s="61">
        <v>317</v>
      </c>
      <c r="D36" s="62">
        <v>0.93</v>
      </c>
    </row>
    <row r="37" spans="1:4" x14ac:dyDescent="0.25">
      <c r="A37" s="60" t="s">
        <v>697</v>
      </c>
      <c r="B37" s="61">
        <v>13</v>
      </c>
      <c r="C37" s="61">
        <v>13</v>
      </c>
      <c r="D37" s="62">
        <v>1</v>
      </c>
    </row>
    <row r="38" spans="1:4" x14ac:dyDescent="0.25">
      <c r="A38" s="60" t="s">
        <v>698</v>
      </c>
      <c r="B38" s="61">
        <v>94</v>
      </c>
      <c r="C38" s="61">
        <v>93</v>
      </c>
      <c r="D38" s="62">
        <v>0.99</v>
      </c>
    </row>
    <row r="39" spans="1:4" x14ac:dyDescent="0.25">
      <c r="A39" s="60" t="s">
        <v>699</v>
      </c>
      <c r="B39" s="61">
        <v>1</v>
      </c>
      <c r="C39" s="61">
        <v>1</v>
      </c>
      <c r="D39" s="62">
        <v>1</v>
      </c>
    </row>
    <row r="40" spans="1:4" x14ac:dyDescent="0.25">
      <c r="A40" s="60" t="s">
        <v>700</v>
      </c>
      <c r="B40" s="61">
        <v>12</v>
      </c>
      <c r="C40" s="61">
        <v>12</v>
      </c>
      <c r="D40" s="62">
        <v>1</v>
      </c>
    </row>
    <row r="41" spans="1:4" x14ac:dyDescent="0.25">
      <c r="A41" s="60" t="s">
        <v>701</v>
      </c>
      <c r="B41" s="61">
        <v>1</v>
      </c>
      <c r="C41" s="61">
        <v>1</v>
      </c>
      <c r="D41" s="62">
        <v>1</v>
      </c>
    </row>
    <row r="42" spans="1:4" x14ac:dyDescent="0.25">
      <c r="A42" s="60" t="s">
        <v>702</v>
      </c>
      <c r="B42" s="61">
        <v>34</v>
      </c>
      <c r="C42" s="61">
        <v>34</v>
      </c>
      <c r="D42" s="62">
        <v>1</v>
      </c>
    </row>
    <row r="43" spans="1:4" x14ac:dyDescent="0.25">
      <c r="A43" s="60" t="s">
        <v>703</v>
      </c>
      <c r="B43" s="61">
        <v>23</v>
      </c>
      <c r="C43" s="61">
        <v>23</v>
      </c>
      <c r="D43" s="62">
        <v>1</v>
      </c>
    </row>
    <row r="44" spans="1:4" x14ac:dyDescent="0.25">
      <c r="A44" s="60" t="s">
        <v>704</v>
      </c>
      <c r="B44" s="61">
        <v>42</v>
      </c>
      <c r="C44" s="61">
        <v>42</v>
      </c>
      <c r="D44" s="62">
        <v>1</v>
      </c>
    </row>
    <row r="45" spans="1:4" x14ac:dyDescent="0.25">
      <c r="A45" s="60" t="s">
        <v>705</v>
      </c>
      <c r="B45" s="61">
        <v>37</v>
      </c>
      <c r="C45" s="61">
        <v>35</v>
      </c>
      <c r="D45" s="62">
        <v>0.95</v>
      </c>
    </row>
    <row r="46" spans="1:4" x14ac:dyDescent="0.25">
      <c r="A46" s="60" t="s">
        <v>706</v>
      </c>
      <c r="B46" s="61">
        <v>73</v>
      </c>
      <c r="C46" s="61">
        <v>72</v>
      </c>
      <c r="D46" s="62">
        <v>0.99</v>
      </c>
    </row>
    <row r="47" spans="1:4" x14ac:dyDescent="0.25">
      <c r="A47" s="60" t="s">
        <v>707</v>
      </c>
      <c r="B47" s="61">
        <v>91</v>
      </c>
      <c r="C47" s="61">
        <v>88</v>
      </c>
      <c r="D47" s="62">
        <v>0.97</v>
      </c>
    </row>
    <row r="48" spans="1:4" x14ac:dyDescent="0.25">
      <c r="A48" s="60" t="s">
        <v>708</v>
      </c>
      <c r="B48" s="61">
        <v>184</v>
      </c>
      <c r="C48" s="61">
        <v>165</v>
      </c>
      <c r="D48" s="62">
        <v>0.9</v>
      </c>
    </row>
    <row r="49" spans="1:9" x14ac:dyDescent="0.25">
      <c r="A49" s="60" t="s">
        <v>709</v>
      </c>
      <c r="B49" s="61">
        <v>1</v>
      </c>
      <c r="C49" s="61">
        <v>1</v>
      </c>
      <c r="D49" s="62">
        <v>1</v>
      </c>
    </row>
    <row r="50" spans="1:9" x14ac:dyDescent="0.25">
      <c r="A50" s="60" t="s">
        <v>710</v>
      </c>
      <c r="B50" s="61">
        <v>74</v>
      </c>
      <c r="C50" s="61">
        <v>73</v>
      </c>
      <c r="D50" s="62">
        <v>0.99</v>
      </c>
    </row>
    <row r="52" spans="1:9" x14ac:dyDescent="0.25">
      <c r="A52" s="58" t="s">
        <v>711</v>
      </c>
    </row>
    <row r="53" spans="1:9" x14ac:dyDescent="0.25">
      <c r="A53" s="63" t="s">
        <v>42</v>
      </c>
      <c r="B53" s="63" t="s">
        <v>712</v>
      </c>
      <c r="C53" s="63" t="s">
        <v>713</v>
      </c>
      <c r="D53" s="63" t="s">
        <v>714</v>
      </c>
      <c r="E53" s="63" t="s">
        <v>715</v>
      </c>
      <c r="F53" s="63" t="s">
        <v>716</v>
      </c>
      <c r="G53" s="63" t="s">
        <v>717</v>
      </c>
      <c r="H53" s="63" t="s">
        <v>718</v>
      </c>
      <c r="I53" s="63" t="s">
        <v>719</v>
      </c>
    </row>
    <row r="54" spans="1:9" ht="30" x14ac:dyDescent="0.25">
      <c r="A54" s="64">
        <v>1</v>
      </c>
      <c r="B54" s="65" t="s">
        <v>720</v>
      </c>
      <c r="C54" s="65" t="s">
        <v>721</v>
      </c>
      <c r="D54" s="65" t="s">
        <v>722</v>
      </c>
      <c r="E54" s="65" t="s">
        <v>723</v>
      </c>
      <c r="F54" s="65" t="s">
        <v>724</v>
      </c>
      <c r="G54" s="65" t="s">
        <v>725</v>
      </c>
      <c r="H54" s="65" t="s">
        <v>52</v>
      </c>
      <c r="I54" s="65" t="s">
        <v>726</v>
      </c>
    </row>
    <row r="55" spans="1:9" ht="30" x14ac:dyDescent="0.25">
      <c r="A55" s="64">
        <v>2</v>
      </c>
      <c r="B55" s="65" t="s">
        <v>720</v>
      </c>
      <c r="C55" s="65" t="s">
        <v>727</v>
      </c>
      <c r="D55" s="65" t="s">
        <v>728</v>
      </c>
      <c r="E55" s="65" t="s">
        <v>729</v>
      </c>
      <c r="F55" s="65" t="s">
        <v>730</v>
      </c>
      <c r="G55" s="65" t="s">
        <v>731</v>
      </c>
      <c r="H55" s="65" t="s">
        <v>52</v>
      </c>
      <c r="I55" s="65" t="s">
        <v>726</v>
      </c>
    </row>
    <row r="56" spans="1:9" ht="45" x14ac:dyDescent="0.25">
      <c r="A56" s="64">
        <v>3</v>
      </c>
      <c r="B56" s="65" t="s">
        <v>720</v>
      </c>
      <c r="C56" s="65" t="s">
        <v>732</v>
      </c>
      <c r="D56" s="65" t="s">
        <v>733</v>
      </c>
      <c r="E56" s="65" t="s">
        <v>733</v>
      </c>
      <c r="F56" s="65" t="s">
        <v>734</v>
      </c>
      <c r="G56" s="65" t="s">
        <v>735</v>
      </c>
      <c r="H56" s="65" t="s">
        <v>52</v>
      </c>
      <c r="I56" s="65" t="s">
        <v>726</v>
      </c>
    </row>
    <row r="57" spans="1:9" ht="60" x14ac:dyDescent="0.25">
      <c r="A57" s="64">
        <v>4</v>
      </c>
      <c r="B57" s="65" t="s">
        <v>720</v>
      </c>
      <c r="C57" s="65" t="s">
        <v>736</v>
      </c>
      <c r="D57" s="65" t="s">
        <v>737</v>
      </c>
      <c r="E57" s="65" t="s">
        <v>737</v>
      </c>
      <c r="F57" s="65" t="s">
        <v>734</v>
      </c>
      <c r="G57" s="65" t="s">
        <v>738</v>
      </c>
      <c r="H57" s="65" t="s">
        <v>52</v>
      </c>
      <c r="I57" s="65" t="s">
        <v>726</v>
      </c>
    </row>
    <row r="58" spans="1:9" ht="30" x14ac:dyDescent="0.25">
      <c r="A58" s="64">
        <v>5</v>
      </c>
      <c r="B58" s="65" t="s">
        <v>720</v>
      </c>
      <c r="C58" s="65" t="s">
        <v>739</v>
      </c>
      <c r="D58" s="65" t="s">
        <v>740</v>
      </c>
      <c r="E58" s="65" t="s">
        <v>741</v>
      </c>
      <c r="F58" s="65" t="s">
        <v>742</v>
      </c>
      <c r="G58" s="65" t="s">
        <v>743</v>
      </c>
      <c r="H58" s="65" t="s">
        <v>52</v>
      </c>
      <c r="I58" s="65" t="s">
        <v>726</v>
      </c>
    </row>
    <row r="59" spans="1:9" ht="30" x14ac:dyDescent="0.25">
      <c r="A59" s="64">
        <v>6</v>
      </c>
      <c r="B59" s="65" t="s">
        <v>720</v>
      </c>
      <c r="C59" s="65" t="s">
        <v>744</v>
      </c>
      <c r="D59" s="65" t="s">
        <v>745</v>
      </c>
      <c r="E59" s="65" t="s">
        <v>746</v>
      </c>
      <c r="F59" s="65" t="s">
        <v>747</v>
      </c>
      <c r="G59" s="65" t="s">
        <v>748</v>
      </c>
      <c r="H59" s="65" t="s">
        <v>52</v>
      </c>
      <c r="I59" s="65" t="s">
        <v>726</v>
      </c>
    </row>
    <row r="60" spans="1:9" ht="45" x14ac:dyDescent="0.25">
      <c r="A60" s="64">
        <v>7</v>
      </c>
      <c r="B60" s="65" t="s">
        <v>720</v>
      </c>
      <c r="C60" s="65" t="s">
        <v>749</v>
      </c>
      <c r="D60" s="65" t="s">
        <v>750</v>
      </c>
      <c r="E60" s="65" t="s">
        <v>750</v>
      </c>
      <c r="F60" s="65" t="s">
        <v>734</v>
      </c>
      <c r="G60" s="65" t="s">
        <v>751</v>
      </c>
      <c r="H60" s="65" t="s">
        <v>52</v>
      </c>
      <c r="I60" s="65" t="s">
        <v>726</v>
      </c>
    </row>
    <row r="61" spans="1:9" ht="75" x14ac:dyDescent="0.25">
      <c r="A61" s="64">
        <v>8</v>
      </c>
      <c r="B61" s="65" t="s">
        <v>720</v>
      </c>
      <c r="C61" s="65" t="s">
        <v>752</v>
      </c>
      <c r="D61" s="65" t="s">
        <v>753</v>
      </c>
      <c r="E61" s="65" t="s">
        <v>754</v>
      </c>
      <c r="F61" s="65" t="s">
        <v>734</v>
      </c>
      <c r="G61" s="65" t="s">
        <v>755</v>
      </c>
      <c r="H61" s="65" t="s">
        <v>52</v>
      </c>
      <c r="I61" s="65" t="s">
        <v>726</v>
      </c>
    </row>
    <row r="62" spans="1:9" ht="45" x14ac:dyDescent="0.25">
      <c r="A62" s="64">
        <v>9</v>
      </c>
      <c r="B62" s="65" t="s">
        <v>720</v>
      </c>
      <c r="C62" s="65" t="s">
        <v>756</v>
      </c>
      <c r="D62" s="65" t="s">
        <v>757</v>
      </c>
      <c r="E62" s="65" t="s">
        <v>757</v>
      </c>
      <c r="F62" s="65" t="s">
        <v>734</v>
      </c>
      <c r="G62" s="65" t="s">
        <v>758</v>
      </c>
      <c r="H62" s="65" t="s">
        <v>52</v>
      </c>
      <c r="I62" s="65" t="s">
        <v>726</v>
      </c>
    </row>
    <row r="63" spans="1:9" ht="45" x14ac:dyDescent="0.25">
      <c r="A63" s="64">
        <v>10</v>
      </c>
      <c r="B63" s="65" t="s">
        <v>720</v>
      </c>
      <c r="C63" s="65" t="s">
        <v>759</v>
      </c>
      <c r="D63" s="65" t="s">
        <v>760</v>
      </c>
      <c r="E63" s="65" t="s">
        <v>761</v>
      </c>
      <c r="F63" s="65" t="s">
        <v>762</v>
      </c>
      <c r="G63" s="65" t="s">
        <v>763</v>
      </c>
      <c r="H63" s="65" t="s">
        <v>52</v>
      </c>
      <c r="I63" s="65" t="s">
        <v>726</v>
      </c>
    </row>
    <row r="64" spans="1:9" ht="30" x14ac:dyDescent="0.25">
      <c r="A64" s="64">
        <v>11</v>
      </c>
      <c r="B64" s="65" t="s">
        <v>720</v>
      </c>
      <c r="C64" s="65" t="s">
        <v>764</v>
      </c>
      <c r="D64" s="65" t="s">
        <v>765</v>
      </c>
      <c r="E64" s="65" t="s">
        <v>766</v>
      </c>
      <c r="F64" s="65" t="s">
        <v>767</v>
      </c>
      <c r="G64" s="65" t="s">
        <v>768</v>
      </c>
      <c r="H64" s="65" t="s">
        <v>52</v>
      </c>
      <c r="I64" s="65" t="s">
        <v>769</v>
      </c>
    </row>
    <row r="65" spans="1:9" ht="30" x14ac:dyDescent="0.25">
      <c r="A65" s="64">
        <v>12</v>
      </c>
      <c r="B65" s="65" t="s">
        <v>720</v>
      </c>
      <c r="C65" s="65" t="s">
        <v>770</v>
      </c>
      <c r="D65" s="65" t="s">
        <v>771</v>
      </c>
      <c r="E65" s="65" t="s">
        <v>772</v>
      </c>
      <c r="F65" s="65" t="s">
        <v>773</v>
      </c>
      <c r="G65" s="65" t="s">
        <v>774</v>
      </c>
      <c r="H65" s="65" t="s">
        <v>52</v>
      </c>
      <c r="I65" s="65" t="s">
        <v>769</v>
      </c>
    </row>
    <row r="66" spans="1:9" ht="45" x14ac:dyDescent="0.25">
      <c r="A66" s="64">
        <v>13</v>
      </c>
      <c r="B66" s="65" t="s">
        <v>720</v>
      </c>
      <c r="C66" s="65" t="s">
        <v>775</v>
      </c>
      <c r="D66" s="65" t="s">
        <v>776</v>
      </c>
      <c r="E66" s="65" t="s">
        <v>777</v>
      </c>
      <c r="F66" s="65" t="s">
        <v>778</v>
      </c>
      <c r="G66" s="65" t="s">
        <v>779</v>
      </c>
      <c r="H66" s="65" t="s">
        <v>52</v>
      </c>
      <c r="I66" s="65" t="s">
        <v>780</v>
      </c>
    </row>
    <row r="67" spans="1:9" ht="60" x14ac:dyDescent="0.25">
      <c r="A67" s="64">
        <v>14</v>
      </c>
      <c r="B67" s="65" t="s">
        <v>720</v>
      </c>
      <c r="C67" s="65" t="s">
        <v>781</v>
      </c>
      <c r="D67" s="65" t="s">
        <v>782</v>
      </c>
      <c r="E67" s="65" t="s">
        <v>782</v>
      </c>
      <c r="F67" s="65" t="s">
        <v>734</v>
      </c>
      <c r="G67" s="65" t="s">
        <v>783</v>
      </c>
      <c r="H67" s="65" t="s">
        <v>52</v>
      </c>
      <c r="I67" s="65" t="s">
        <v>780</v>
      </c>
    </row>
    <row r="68" spans="1:9" ht="45" x14ac:dyDescent="0.25">
      <c r="A68" s="64">
        <v>15</v>
      </c>
      <c r="B68" s="65" t="s">
        <v>784</v>
      </c>
      <c r="C68" s="65" t="s">
        <v>785</v>
      </c>
      <c r="D68" s="65" t="s">
        <v>786</v>
      </c>
      <c r="E68" s="65" t="s">
        <v>786</v>
      </c>
      <c r="F68" s="65" t="s">
        <v>734</v>
      </c>
      <c r="G68" s="65" t="s">
        <v>787</v>
      </c>
      <c r="H68" s="65" t="s">
        <v>52</v>
      </c>
      <c r="I68" s="65" t="s">
        <v>726</v>
      </c>
    </row>
    <row r="69" spans="1:9" ht="45" x14ac:dyDescent="0.25">
      <c r="A69" s="64">
        <v>16</v>
      </c>
      <c r="B69" s="65" t="s">
        <v>784</v>
      </c>
      <c r="C69" s="65" t="s">
        <v>788</v>
      </c>
      <c r="D69" s="65" t="s">
        <v>789</v>
      </c>
      <c r="E69" s="65" t="s">
        <v>790</v>
      </c>
      <c r="F69" s="65" t="s">
        <v>791</v>
      </c>
      <c r="G69" s="65" t="s">
        <v>792</v>
      </c>
      <c r="H69" s="65" t="s">
        <v>52</v>
      </c>
      <c r="I69" s="65" t="s">
        <v>726</v>
      </c>
    </row>
    <row r="70" spans="1:9" ht="45" x14ac:dyDescent="0.25">
      <c r="A70" s="64">
        <v>17</v>
      </c>
      <c r="B70" s="65" t="s">
        <v>784</v>
      </c>
      <c r="C70" s="65" t="s">
        <v>793</v>
      </c>
      <c r="D70" s="65" t="s">
        <v>794</v>
      </c>
      <c r="E70" s="65" t="s">
        <v>794</v>
      </c>
      <c r="F70" s="65" t="s">
        <v>734</v>
      </c>
      <c r="G70" s="65" t="s">
        <v>795</v>
      </c>
      <c r="H70" s="65" t="s">
        <v>52</v>
      </c>
      <c r="I70" s="65" t="s">
        <v>726</v>
      </c>
    </row>
    <row r="71" spans="1:9" ht="60" x14ac:dyDescent="0.25">
      <c r="A71" s="64">
        <v>18</v>
      </c>
      <c r="B71" s="65" t="s">
        <v>784</v>
      </c>
      <c r="C71" s="65" t="s">
        <v>796</v>
      </c>
      <c r="D71" s="65" t="s">
        <v>797</v>
      </c>
      <c r="E71" s="65" t="s">
        <v>798</v>
      </c>
      <c r="F71" s="65" t="s">
        <v>734</v>
      </c>
      <c r="G71" s="65" t="s">
        <v>799</v>
      </c>
      <c r="H71" s="65" t="s">
        <v>52</v>
      </c>
      <c r="I71" s="65" t="s">
        <v>769</v>
      </c>
    </row>
    <row r="72" spans="1:9" ht="30" x14ac:dyDescent="0.25">
      <c r="A72" s="64">
        <v>19</v>
      </c>
      <c r="B72" s="65" t="s">
        <v>784</v>
      </c>
      <c r="C72" s="65" t="s">
        <v>800</v>
      </c>
      <c r="D72" s="65" t="s">
        <v>801</v>
      </c>
      <c r="E72" s="65" t="s">
        <v>802</v>
      </c>
      <c r="F72" s="65" t="s">
        <v>803</v>
      </c>
      <c r="G72" s="65" t="s">
        <v>804</v>
      </c>
      <c r="H72" s="65" t="s">
        <v>52</v>
      </c>
      <c r="I72" s="65" t="s">
        <v>780</v>
      </c>
    </row>
    <row r="73" spans="1:9" ht="60" x14ac:dyDescent="0.25">
      <c r="A73" s="64">
        <v>20</v>
      </c>
      <c r="B73" s="65" t="s">
        <v>805</v>
      </c>
      <c r="C73" s="65" t="s">
        <v>806</v>
      </c>
      <c r="D73" s="65" t="s">
        <v>807</v>
      </c>
      <c r="E73" s="65" t="s">
        <v>808</v>
      </c>
      <c r="F73" s="65" t="s">
        <v>734</v>
      </c>
      <c r="G73" s="65" t="s">
        <v>809</v>
      </c>
      <c r="H73" s="65" t="s">
        <v>52</v>
      </c>
      <c r="I73" s="65" t="s">
        <v>726</v>
      </c>
    </row>
    <row r="74" spans="1:9" ht="45" x14ac:dyDescent="0.25">
      <c r="A74" s="64">
        <v>21</v>
      </c>
      <c r="B74" s="65" t="s">
        <v>805</v>
      </c>
      <c r="C74" s="65" t="s">
        <v>810</v>
      </c>
      <c r="D74" s="65" t="s">
        <v>811</v>
      </c>
      <c r="E74" s="65" t="s">
        <v>811</v>
      </c>
      <c r="F74" s="65" t="s">
        <v>734</v>
      </c>
      <c r="G74" s="65" t="s">
        <v>812</v>
      </c>
      <c r="H74" s="65" t="s">
        <v>52</v>
      </c>
      <c r="I74" s="65" t="s">
        <v>726</v>
      </c>
    </row>
    <row r="75" spans="1:9" ht="45" x14ac:dyDescent="0.25">
      <c r="A75" s="64">
        <v>22</v>
      </c>
      <c r="B75" s="65" t="s">
        <v>805</v>
      </c>
      <c r="C75" s="65" t="s">
        <v>813</v>
      </c>
      <c r="D75" s="65" t="s">
        <v>814</v>
      </c>
      <c r="E75" s="65" t="s">
        <v>815</v>
      </c>
      <c r="F75" s="65" t="s">
        <v>816</v>
      </c>
      <c r="G75" s="65" t="s">
        <v>817</v>
      </c>
      <c r="H75" s="65" t="s">
        <v>52</v>
      </c>
      <c r="I75" s="65" t="s">
        <v>726</v>
      </c>
    </row>
    <row r="76" spans="1:9" ht="45" x14ac:dyDescent="0.25">
      <c r="A76" s="64">
        <v>23</v>
      </c>
      <c r="B76" s="65" t="s">
        <v>805</v>
      </c>
      <c r="C76" s="65" t="s">
        <v>818</v>
      </c>
      <c r="D76" s="65" t="s">
        <v>819</v>
      </c>
      <c r="E76" s="65" t="s">
        <v>819</v>
      </c>
      <c r="F76" s="65" t="s">
        <v>734</v>
      </c>
      <c r="G76" s="65" t="s">
        <v>820</v>
      </c>
      <c r="H76" s="65" t="s">
        <v>52</v>
      </c>
      <c r="I76" s="65" t="s">
        <v>726</v>
      </c>
    </row>
    <row r="77" spans="1:9" ht="60" x14ac:dyDescent="0.25">
      <c r="A77" s="64">
        <v>24</v>
      </c>
      <c r="B77" s="65" t="s">
        <v>805</v>
      </c>
      <c r="C77" s="65" t="s">
        <v>821</v>
      </c>
      <c r="D77" s="65" t="s">
        <v>822</v>
      </c>
      <c r="E77" s="65" t="s">
        <v>823</v>
      </c>
      <c r="F77" s="65" t="s">
        <v>734</v>
      </c>
      <c r="G77" s="65" t="s">
        <v>824</v>
      </c>
      <c r="H77" s="65" t="s">
        <v>52</v>
      </c>
      <c r="I77" s="65" t="s">
        <v>780</v>
      </c>
    </row>
    <row r="78" spans="1:9" ht="60" x14ac:dyDescent="0.25">
      <c r="A78" s="64">
        <v>25</v>
      </c>
      <c r="B78" s="65" t="s">
        <v>825</v>
      </c>
      <c r="C78" s="65" t="s">
        <v>826</v>
      </c>
      <c r="D78" s="65" t="s">
        <v>827</v>
      </c>
      <c r="E78" s="65" t="s">
        <v>828</v>
      </c>
      <c r="F78" s="65" t="s">
        <v>734</v>
      </c>
      <c r="G78" s="65" t="s">
        <v>829</v>
      </c>
      <c r="H78" s="65" t="s">
        <v>52</v>
      </c>
      <c r="I78" s="65" t="s">
        <v>726</v>
      </c>
    </row>
    <row r="79" spans="1:9" ht="45" x14ac:dyDescent="0.25">
      <c r="A79" s="64">
        <v>26</v>
      </c>
      <c r="B79" s="65" t="s">
        <v>830</v>
      </c>
      <c r="C79" s="65" t="s">
        <v>831</v>
      </c>
      <c r="D79" s="65" t="s">
        <v>832</v>
      </c>
      <c r="E79" s="65" t="s">
        <v>832</v>
      </c>
      <c r="F79" s="65" t="s">
        <v>734</v>
      </c>
      <c r="G79" s="65" t="s">
        <v>833</v>
      </c>
      <c r="H79" s="65" t="s">
        <v>52</v>
      </c>
      <c r="I79" s="65" t="s">
        <v>726</v>
      </c>
    </row>
    <row r="80" spans="1:9" ht="30" x14ac:dyDescent="0.25">
      <c r="A80" s="64">
        <v>27</v>
      </c>
      <c r="B80" s="65" t="s">
        <v>830</v>
      </c>
      <c r="C80" s="65" t="s">
        <v>834</v>
      </c>
      <c r="D80" s="65" t="s">
        <v>835</v>
      </c>
      <c r="E80" s="65" t="s">
        <v>835</v>
      </c>
      <c r="F80" s="65" t="s">
        <v>734</v>
      </c>
      <c r="G80" s="65" t="s">
        <v>836</v>
      </c>
      <c r="H80" s="65" t="s">
        <v>52</v>
      </c>
      <c r="I80" s="65" t="s">
        <v>726</v>
      </c>
    </row>
    <row r="81" spans="1:9" ht="30" x14ac:dyDescent="0.25">
      <c r="A81" s="64">
        <v>28</v>
      </c>
      <c r="B81" s="65" t="s">
        <v>830</v>
      </c>
      <c r="C81" s="65" t="s">
        <v>837</v>
      </c>
      <c r="D81" s="65" t="s">
        <v>838</v>
      </c>
      <c r="E81" s="65" t="s">
        <v>838</v>
      </c>
      <c r="F81" s="65" t="s">
        <v>734</v>
      </c>
      <c r="G81" s="65" t="s">
        <v>839</v>
      </c>
      <c r="H81" s="65" t="s">
        <v>52</v>
      </c>
      <c r="I81" s="65" t="s">
        <v>726</v>
      </c>
    </row>
    <row r="82" spans="1:9" ht="30" x14ac:dyDescent="0.25">
      <c r="A82" s="64">
        <v>29</v>
      </c>
      <c r="B82" s="65" t="s">
        <v>830</v>
      </c>
      <c r="C82" s="65" t="s">
        <v>840</v>
      </c>
      <c r="D82" s="65" t="s">
        <v>841</v>
      </c>
      <c r="E82" s="65" t="s">
        <v>841</v>
      </c>
      <c r="F82" s="65" t="s">
        <v>734</v>
      </c>
      <c r="G82" s="65" t="s">
        <v>842</v>
      </c>
      <c r="H82" s="65" t="s">
        <v>52</v>
      </c>
      <c r="I82" s="65" t="s">
        <v>726</v>
      </c>
    </row>
    <row r="83" spans="1:9" ht="30" x14ac:dyDescent="0.25">
      <c r="A83" s="64">
        <v>30</v>
      </c>
      <c r="B83" s="65" t="s">
        <v>830</v>
      </c>
      <c r="C83" s="65" t="s">
        <v>843</v>
      </c>
      <c r="D83" s="65" t="s">
        <v>844</v>
      </c>
      <c r="E83" s="65" t="s">
        <v>844</v>
      </c>
      <c r="F83" s="65" t="s">
        <v>734</v>
      </c>
      <c r="G83" s="65" t="s">
        <v>845</v>
      </c>
      <c r="H83" s="65" t="s">
        <v>52</v>
      </c>
      <c r="I83" s="65" t="s">
        <v>726</v>
      </c>
    </row>
    <row r="84" spans="1:9" ht="60" x14ac:dyDescent="0.25">
      <c r="A84" s="64">
        <v>31</v>
      </c>
      <c r="B84" s="65" t="s">
        <v>830</v>
      </c>
      <c r="C84" s="65" t="s">
        <v>846</v>
      </c>
      <c r="D84" s="65" t="s">
        <v>847</v>
      </c>
      <c r="E84" s="65" t="s">
        <v>847</v>
      </c>
      <c r="F84" s="65" t="s">
        <v>734</v>
      </c>
      <c r="G84" s="65" t="s">
        <v>848</v>
      </c>
      <c r="H84" s="65" t="s">
        <v>52</v>
      </c>
      <c r="I84" s="65" t="s">
        <v>769</v>
      </c>
    </row>
    <row r="85" spans="1:9" ht="30" x14ac:dyDescent="0.25">
      <c r="A85" s="64">
        <v>32</v>
      </c>
      <c r="B85" s="65" t="s">
        <v>830</v>
      </c>
      <c r="C85" s="65" t="s">
        <v>849</v>
      </c>
      <c r="D85" s="65" t="s">
        <v>850</v>
      </c>
      <c r="E85" s="65" t="s">
        <v>851</v>
      </c>
      <c r="F85" s="65" t="s">
        <v>852</v>
      </c>
      <c r="G85" s="65" t="s">
        <v>853</v>
      </c>
      <c r="H85" s="65" t="s">
        <v>52</v>
      </c>
      <c r="I85" s="65" t="s">
        <v>769</v>
      </c>
    </row>
    <row r="86" spans="1:9" ht="30" x14ac:dyDescent="0.25">
      <c r="A86" s="64">
        <v>33</v>
      </c>
      <c r="B86" s="65" t="s">
        <v>830</v>
      </c>
      <c r="C86" s="65" t="s">
        <v>854</v>
      </c>
      <c r="D86" s="65" t="s">
        <v>855</v>
      </c>
      <c r="E86" s="65" t="s">
        <v>856</v>
      </c>
      <c r="F86" s="65" t="s">
        <v>857</v>
      </c>
      <c r="G86" s="65" t="s">
        <v>858</v>
      </c>
      <c r="H86" s="65" t="s">
        <v>52</v>
      </c>
      <c r="I86" s="65" t="s">
        <v>780</v>
      </c>
    </row>
    <row r="87" spans="1:9" ht="30" x14ac:dyDescent="0.25">
      <c r="A87" s="64">
        <v>34</v>
      </c>
      <c r="B87" s="65" t="s">
        <v>859</v>
      </c>
      <c r="C87" s="65" t="s">
        <v>860</v>
      </c>
      <c r="D87" s="65" t="s">
        <v>861</v>
      </c>
      <c r="E87" s="65" t="s">
        <v>862</v>
      </c>
      <c r="F87" s="65" t="s">
        <v>863</v>
      </c>
      <c r="G87" s="65" t="s">
        <v>864</v>
      </c>
      <c r="H87" s="65" t="s">
        <v>52</v>
      </c>
      <c r="I87" s="65" t="s">
        <v>726</v>
      </c>
    </row>
    <row r="88" spans="1:9" ht="30" x14ac:dyDescent="0.25">
      <c r="A88" s="64">
        <v>35</v>
      </c>
      <c r="B88" s="65" t="s">
        <v>859</v>
      </c>
      <c r="C88" s="65" t="s">
        <v>865</v>
      </c>
      <c r="D88" s="65" t="s">
        <v>866</v>
      </c>
      <c r="E88" s="65" t="s">
        <v>867</v>
      </c>
      <c r="F88" s="65" t="s">
        <v>868</v>
      </c>
      <c r="G88" s="65" t="s">
        <v>869</v>
      </c>
      <c r="H88" s="65" t="s">
        <v>52</v>
      </c>
      <c r="I88" s="65" t="s">
        <v>726</v>
      </c>
    </row>
    <row r="89" spans="1:9" ht="30" x14ac:dyDescent="0.25">
      <c r="A89" s="64">
        <v>36</v>
      </c>
      <c r="B89" s="65" t="s">
        <v>859</v>
      </c>
      <c r="C89" s="65" t="s">
        <v>870</v>
      </c>
      <c r="D89" s="65" t="s">
        <v>871</v>
      </c>
      <c r="E89" s="65" t="s">
        <v>871</v>
      </c>
      <c r="F89" s="65" t="s">
        <v>734</v>
      </c>
      <c r="G89" s="65" t="s">
        <v>872</v>
      </c>
      <c r="H89" s="65" t="s">
        <v>52</v>
      </c>
      <c r="I89" s="65" t="s">
        <v>726</v>
      </c>
    </row>
    <row r="90" spans="1:9" ht="30" x14ac:dyDescent="0.25">
      <c r="A90" s="64">
        <v>37</v>
      </c>
      <c r="B90" s="65" t="s">
        <v>859</v>
      </c>
      <c r="C90" s="65" t="s">
        <v>873</v>
      </c>
      <c r="D90" s="65" t="s">
        <v>874</v>
      </c>
      <c r="E90" s="65" t="s">
        <v>875</v>
      </c>
      <c r="F90" s="65" t="s">
        <v>852</v>
      </c>
      <c r="G90" s="65" t="s">
        <v>876</v>
      </c>
      <c r="H90" s="65" t="s">
        <v>52</v>
      </c>
      <c r="I90" s="65" t="s">
        <v>769</v>
      </c>
    </row>
    <row r="91" spans="1:9" ht="30" x14ac:dyDescent="0.25">
      <c r="A91" s="64">
        <v>38</v>
      </c>
      <c r="B91" s="65" t="s">
        <v>859</v>
      </c>
      <c r="C91" s="65" t="s">
        <v>877</v>
      </c>
      <c r="D91" s="65" t="s">
        <v>878</v>
      </c>
      <c r="E91" s="65" t="s">
        <v>879</v>
      </c>
      <c r="F91" s="65" t="s">
        <v>880</v>
      </c>
      <c r="G91" s="65" t="s">
        <v>881</v>
      </c>
      <c r="H91" s="65" t="s">
        <v>52</v>
      </c>
      <c r="I91" s="65" t="s">
        <v>780</v>
      </c>
    </row>
    <row r="92" spans="1:9" ht="60" x14ac:dyDescent="0.25">
      <c r="A92" s="64">
        <v>39</v>
      </c>
      <c r="B92" s="65" t="s">
        <v>882</v>
      </c>
      <c r="C92" s="65" t="s">
        <v>883</v>
      </c>
      <c r="D92" s="65" t="s">
        <v>884</v>
      </c>
      <c r="E92" s="65" t="s">
        <v>884</v>
      </c>
      <c r="F92" s="65" t="s">
        <v>734</v>
      </c>
      <c r="G92" s="65" t="s">
        <v>885</v>
      </c>
      <c r="H92" s="65" t="s">
        <v>52</v>
      </c>
      <c r="I92" s="65" t="s">
        <v>726</v>
      </c>
    </row>
    <row r="93" spans="1:9" ht="60" x14ac:dyDescent="0.25">
      <c r="A93" s="64">
        <v>40</v>
      </c>
      <c r="B93" s="65" t="s">
        <v>882</v>
      </c>
      <c r="C93" s="65" t="s">
        <v>886</v>
      </c>
      <c r="D93" s="65" t="s">
        <v>887</v>
      </c>
      <c r="E93" s="65" t="s">
        <v>888</v>
      </c>
      <c r="F93" s="65" t="s">
        <v>734</v>
      </c>
      <c r="G93" s="65" t="s">
        <v>889</v>
      </c>
      <c r="H93" s="65" t="s">
        <v>52</v>
      </c>
      <c r="I93" s="65" t="s">
        <v>726</v>
      </c>
    </row>
    <row r="94" spans="1:9" ht="45" x14ac:dyDescent="0.25">
      <c r="A94" s="64">
        <v>41</v>
      </c>
      <c r="B94" s="65" t="s">
        <v>882</v>
      </c>
      <c r="C94" s="65" t="s">
        <v>890</v>
      </c>
      <c r="D94" s="65" t="s">
        <v>891</v>
      </c>
      <c r="E94" s="65" t="s">
        <v>891</v>
      </c>
      <c r="F94" s="65" t="s">
        <v>734</v>
      </c>
      <c r="G94" s="65" t="s">
        <v>892</v>
      </c>
      <c r="H94" s="65" t="s">
        <v>52</v>
      </c>
      <c r="I94" s="65" t="s">
        <v>726</v>
      </c>
    </row>
    <row r="95" spans="1:9" ht="30" x14ac:dyDescent="0.25">
      <c r="A95" s="64">
        <v>42</v>
      </c>
      <c r="B95" s="65" t="s">
        <v>882</v>
      </c>
      <c r="C95" s="65" t="s">
        <v>893</v>
      </c>
      <c r="D95" s="65" t="s">
        <v>894</v>
      </c>
      <c r="E95" s="65" t="s">
        <v>895</v>
      </c>
      <c r="F95" s="65" t="s">
        <v>896</v>
      </c>
      <c r="G95" s="65" t="s">
        <v>897</v>
      </c>
      <c r="H95" s="65" t="s">
        <v>52</v>
      </c>
      <c r="I95" s="65" t="s">
        <v>780</v>
      </c>
    </row>
    <row r="96" spans="1:9" ht="30" x14ac:dyDescent="0.25">
      <c r="A96" s="64">
        <v>43</v>
      </c>
      <c r="B96" s="65" t="s">
        <v>882</v>
      </c>
      <c r="C96" s="65" t="s">
        <v>898</v>
      </c>
      <c r="D96" s="65" t="s">
        <v>899</v>
      </c>
      <c r="E96" s="65" t="s">
        <v>899</v>
      </c>
      <c r="F96" s="65" t="s">
        <v>734</v>
      </c>
      <c r="G96" s="65" t="s">
        <v>900</v>
      </c>
      <c r="H96" s="65" t="s">
        <v>52</v>
      </c>
      <c r="I96" s="65" t="s">
        <v>726</v>
      </c>
    </row>
    <row r="97" spans="1:9" ht="45" x14ac:dyDescent="0.25">
      <c r="A97" s="64">
        <v>44</v>
      </c>
      <c r="B97" s="65" t="s">
        <v>882</v>
      </c>
      <c r="C97" s="65" t="s">
        <v>901</v>
      </c>
      <c r="D97" s="65" t="s">
        <v>902</v>
      </c>
      <c r="E97" s="65" t="s">
        <v>902</v>
      </c>
      <c r="F97" s="65" t="s">
        <v>734</v>
      </c>
      <c r="G97" s="65" t="s">
        <v>903</v>
      </c>
      <c r="H97" s="65" t="s">
        <v>52</v>
      </c>
      <c r="I97" s="65" t="s">
        <v>769</v>
      </c>
    </row>
    <row r="98" spans="1:9" ht="30" x14ac:dyDescent="0.25">
      <c r="A98" s="64">
        <v>45</v>
      </c>
      <c r="B98" s="65" t="s">
        <v>904</v>
      </c>
      <c r="C98" s="65" t="s">
        <v>905</v>
      </c>
      <c r="D98" s="65" t="s">
        <v>906</v>
      </c>
      <c r="E98" s="65" t="s">
        <v>907</v>
      </c>
      <c r="F98" s="65" t="s">
        <v>908</v>
      </c>
      <c r="G98" s="65" t="s">
        <v>909</v>
      </c>
      <c r="H98" s="65" t="s">
        <v>52</v>
      </c>
      <c r="I98" s="65" t="s">
        <v>726</v>
      </c>
    </row>
    <row r="99" spans="1:9" ht="30" x14ac:dyDescent="0.25">
      <c r="A99" s="64">
        <v>46</v>
      </c>
      <c r="B99" s="65" t="s">
        <v>904</v>
      </c>
      <c r="C99" s="65" t="s">
        <v>910</v>
      </c>
      <c r="D99" s="65" t="s">
        <v>911</v>
      </c>
      <c r="E99" s="65" t="s">
        <v>912</v>
      </c>
      <c r="F99" s="65" t="s">
        <v>913</v>
      </c>
      <c r="G99" s="65" t="s">
        <v>914</v>
      </c>
      <c r="H99" s="65" t="s">
        <v>52</v>
      </c>
      <c r="I99" s="65" t="s">
        <v>726</v>
      </c>
    </row>
    <row r="100" spans="1:9" ht="30" x14ac:dyDescent="0.25">
      <c r="A100" s="64">
        <v>47</v>
      </c>
      <c r="B100" s="65" t="s">
        <v>904</v>
      </c>
      <c r="C100" s="65" t="s">
        <v>915</v>
      </c>
      <c r="D100" s="65" t="s">
        <v>916</v>
      </c>
      <c r="E100" s="65" t="s">
        <v>917</v>
      </c>
      <c r="F100" s="65" t="s">
        <v>918</v>
      </c>
      <c r="G100" s="65" t="s">
        <v>919</v>
      </c>
      <c r="H100" s="65" t="s">
        <v>52</v>
      </c>
      <c r="I100" s="65" t="s">
        <v>726</v>
      </c>
    </row>
    <row r="101" spans="1:9" ht="45" x14ac:dyDescent="0.25">
      <c r="A101" s="64">
        <v>48</v>
      </c>
      <c r="B101" s="65" t="s">
        <v>904</v>
      </c>
      <c r="C101" s="65" t="s">
        <v>920</v>
      </c>
      <c r="D101" s="65" t="s">
        <v>921</v>
      </c>
      <c r="E101" s="65" t="s">
        <v>922</v>
      </c>
      <c r="F101" s="65" t="s">
        <v>923</v>
      </c>
      <c r="G101" s="65" t="s">
        <v>924</v>
      </c>
      <c r="H101" s="65" t="s">
        <v>52</v>
      </c>
      <c r="I101" s="65" t="s">
        <v>726</v>
      </c>
    </row>
    <row r="102" spans="1:9" ht="30" x14ac:dyDescent="0.25">
      <c r="A102" s="64">
        <v>49</v>
      </c>
      <c r="B102" s="65" t="s">
        <v>904</v>
      </c>
      <c r="C102" s="65" t="s">
        <v>925</v>
      </c>
      <c r="D102" s="65" t="s">
        <v>926</v>
      </c>
      <c r="E102" s="65" t="s">
        <v>927</v>
      </c>
      <c r="F102" s="65" t="s">
        <v>928</v>
      </c>
      <c r="G102" s="65" t="s">
        <v>929</v>
      </c>
      <c r="H102" s="65" t="s">
        <v>52</v>
      </c>
      <c r="I102" s="65" t="s">
        <v>726</v>
      </c>
    </row>
    <row r="103" spans="1:9" ht="45" x14ac:dyDescent="0.25">
      <c r="A103" s="64">
        <v>50</v>
      </c>
      <c r="B103" s="65" t="s">
        <v>904</v>
      </c>
      <c r="C103" s="65" t="s">
        <v>930</v>
      </c>
      <c r="D103" s="65" t="s">
        <v>931</v>
      </c>
      <c r="E103" s="65" t="s">
        <v>931</v>
      </c>
      <c r="F103" s="65" t="s">
        <v>734</v>
      </c>
      <c r="G103" s="65" t="s">
        <v>932</v>
      </c>
      <c r="H103" s="65" t="s">
        <v>52</v>
      </c>
      <c r="I103" s="65" t="s">
        <v>726</v>
      </c>
    </row>
    <row r="104" spans="1:9" ht="30" x14ac:dyDescent="0.25">
      <c r="A104" s="64">
        <v>51</v>
      </c>
      <c r="B104" s="65" t="s">
        <v>904</v>
      </c>
      <c r="C104" s="65" t="s">
        <v>933</v>
      </c>
      <c r="D104" s="65" t="s">
        <v>934</v>
      </c>
      <c r="E104" s="65" t="s">
        <v>935</v>
      </c>
      <c r="F104" s="65" t="s">
        <v>936</v>
      </c>
      <c r="G104" s="65" t="s">
        <v>937</v>
      </c>
      <c r="H104" s="65" t="s">
        <v>52</v>
      </c>
      <c r="I104" s="65" t="s">
        <v>726</v>
      </c>
    </row>
    <row r="105" spans="1:9" ht="30" x14ac:dyDescent="0.25">
      <c r="A105" s="64">
        <v>52</v>
      </c>
      <c r="B105" s="65" t="s">
        <v>904</v>
      </c>
      <c r="C105" s="65" t="s">
        <v>938</v>
      </c>
      <c r="D105" s="65" t="s">
        <v>939</v>
      </c>
      <c r="E105" s="65" t="s">
        <v>940</v>
      </c>
      <c r="F105" s="65" t="s">
        <v>941</v>
      </c>
      <c r="G105" s="65" t="s">
        <v>942</v>
      </c>
      <c r="H105" s="65" t="s">
        <v>52</v>
      </c>
      <c r="I105" s="65" t="s">
        <v>726</v>
      </c>
    </row>
    <row r="106" spans="1:9" ht="30" x14ac:dyDescent="0.25">
      <c r="A106" s="64">
        <v>53</v>
      </c>
      <c r="B106" s="65" t="s">
        <v>904</v>
      </c>
      <c r="C106" s="65" t="s">
        <v>943</v>
      </c>
      <c r="D106" s="65" t="s">
        <v>944</v>
      </c>
      <c r="E106" s="65" t="s">
        <v>945</v>
      </c>
      <c r="F106" s="65" t="s">
        <v>946</v>
      </c>
      <c r="G106" s="65" t="s">
        <v>947</v>
      </c>
      <c r="H106" s="65" t="s">
        <v>52</v>
      </c>
      <c r="I106" s="65" t="s">
        <v>726</v>
      </c>
    </row>
    <row r="107" spans="1:9" ht="30" x14ac:dyDescent="0.25">
      <c r="A107" s="64">
        <v>54</v>
      </c>
      <c r="B107" s="65" t="s">
        <v>904</v>
      </c>
      <c r="C107" s="65" t="s">
        <v>948</v>
      </c>
      <c r="D107" s="65" t="s">
        <v>949</v>
      </c>
      <c r="E107" s="65" t="s">
        <v>949</v>
      </c>
      <c r="F107" s="65" t="s">
        <v>734</v>
      </c>
      <c r="G107" s="65" t="s">
        <v>950</v>
      </c>
      <c r="H107" s="65" t="s">
        <v>52</v>
      </c>
      <c r="I107" s="65" t="s">
        <v>726</v>
      </c>
    </row>
    <row r="108" spans="1:9" ht="45" x14ac:dyDescent="0.25">
      <c r="A108" s="64">
        <v>55</v>
      </c>
      <c r="B108" s="65" t="s">
        <v>904</v>
      </c>
      <c r="C108" s="65" t="s">
        <v>951</v>
      </c>
      <c r="D108" s="65" t="s">
        <v>952</v>
      </c>
      <c r="E108" s="65" t="s">
        <v>953</v>
      </c>
      <c r="F108" s="65" t="s">
        <v>954</v>
      </c>
      <c r="G108" s="65" t="s">
        <v>955</v>
      </c>
      <c r="H108" s="65" t="s">
        <v>52</v>
      </c>
      <c r="I108" s="65" t="s">
        <v>726</v>
      </c>
    </row>
    <row r="109" spans="1:9" ht="30" x14ac:dyDescent="0.25">
      <c r="A109" s="64">
        <v>56</v>
      </c>
      <c r="B109" s="65" t="s">
        <v>904</v>
      </c>
      <c r="C109" s="65" t="s">
        <v>956</v>
      </c>
      <c r="D109" s="65" t="s">
        <v>957</v>
      </c>
      <c r="E109" s="65" t="s">
        <v>958</v>
      </c>
      <c r="F109" s="65" t="s">
        <v>959</v>
      </c>
      <c r="G109" s="65" t="s">
        <v>960</v>
      </c>
      <c r="H109" s="65" t="s">
        <v>52</v>
      </c>
      <c r="I109" s="65" t="s">
        <v>769</v>
      </c>
    </row>
    <row r="110" spans="1:9" ht="30" x14ac:dyDescent="0.25">
      <c r="A110" s="64">
        <v>57</v>
      </c>
      <c r="B110" s="65" t="s">
        <v>904</v>
      </c>
      <c r="C110" s="65" t="s">
        <v>961</v>
      </c>
      <c r="D110" s="65" t="s">
        <v>962</v>
      </c>
      <c r="E110" s="65" t="s">
        <v>962</v>
      </c>
      <c r="F110" s="65" t="s">
        <v>734</v>
      </c>
      <c r="G110" s="65" t="s">
        <v>963</v>
      </c>
      <c r="H110" s="65" t="s">
        <v>52</v>
      </c>
      <c r="I110" s="65" t="s">
        <v>769</v>
      </c>
    </row>
    <row r="111" spans="1:9" ht="30" x14ac:dyDescent="0.25">
      <c r="A111" s="64">
        <v>58</v>
      </c>
      <c r="B111" s="65" t="s">
        <v>904</v>
      </c>
      <c r="C111" s="65" t="s">
        <v>964</v>
      </c>
      <c r="D111" s="65" t="s">
        <v>965</v>
      </c>
      <c r="E111" s="65" t="s">
        <v>966</v>
      </c>
      <c r="F111" s="65" t="s">
        <v>967</v>
      </c>
      <c r="G111" s="65" t="s">
        <v>968</v>
      </c>
      <c r="H111" s="65" t="s">
        <v>52</v>
      </c>
      <c r="I111" s="65" t="s">
        <v>780</v>
      </c>
    </row>
    <row r="112" spans="1:9" ht="30" x14ac:dyDescent="0.25">
      <c r="A112" s="64">
        <v>59</v>
      </c>
      <c r="B112" s="65" t="s">
        <v>904</v>
      </c>
      <c r="C112" s="65" t="s">
        <v>969</v>
      </c>
      <c r="D112" s="65" t="s">
        <v>970</v>
      </c>
      <c r="E112" s="65" t="s">
        <v>971</v>
      </c>
      <c r="F112" s="65" t="s">
        <v>972</v>
      </c>
      <c r="G112" s="65" t="s">
        <v>973</v>
      </c>
      <c r="H112" s="65" t="s">
        <v>52</v>
      </c>
      <c r="I112" s="65" t="s">
        <v>769</v>
      </c>
    </row>
    <row r="113" spans="1:9" ht="45" x14ac:dyDescent="0.25">
      <c r="A113" s="64">
        <v>60</v>
      </c>
      <c r="B113" s="65" t="s">
        <v>904</v>
      </c>
      <c r="C113" s="65" t="s">
        <v>974</v>
      </c>
      <c r="D113" s="65" t="s">
        <v>975</v>
      </c>
      <c r="E113" s="65" t="s">
        <v>975</v>
      </c>
      <c r="F113" s="65" t="s">
        <v>734</v>
      </c>
      <c r="G113" s="65" t="s">
        <v>976</v>
      </c>
      <c r="H113" s="65" t="s">
        <v>52</v>
      </c>
      <c r="I113" s="65" t="s">
        <v>726</v>
      </c>
    </row>
    <row r="114" spans="1:9" ht="45" x14ac:dyDescent="0.25">
      <c r="A114" s="64">
        <v>61</v>
      </c>
      <c r="B114" s="65" t="s">
        <v>904</v>
      </c>
      <c r="C114" s="65" t="s">
        <v>977</v>
      </c>
      <c r="D114" s="65" t="s">
        <v>978</v>
      </c>
      <c r="E114" s="65" t="s">
        <v>978</v>
      </c>
      <c r="F114" s="65" t="s">
        <v>734</v>
      </c>
      <c r="G114" s="65" t="s">
        <v>979</v>
      </c>
      <c r="H114" s="65" t="s">
        <v>52</v>
      </c>
      <c r="I114" s="65" t="s">
        <v>769</v>
      </c>
    </row>
    <row r="115" spans="1:9" ht="45" x14ac:dyDescent="0.25">
      <c r="A115" s="64">
        <v>62</v>
      </c>
      <c r="B115" s="65" t="s">
        <v>904</v>
      </c>
      <c r="C115" s="65" t="s">
        <v>980</v>
      </c>
      <c r="D115" s="65" t="s">
        <v>981</v>
      </c>
      <c r="E115" s="65" t="s">
        <v>981</v>
      </c>
      <c r="F115" s="65" t="s">
        <v>734</v>
      </c>
      <c r="G115" s="65" t="s">
        <v>982</v>
      </c>
      <c r="H115" s="65" t="s">
        <v>52</v>
      </c>
      <c r="I115" s="65" t="s">
        <v>726</v>
      </c>
    </row>
    <row r="116" spans="1:9" ht="45" x14ac:dyDescent="0.25">
      <c r="A116" s="64">
        <v>63</v>
      </c>
      <c r="B116" s="65" t="s">
        <v>904</v>
      </c>
      <c r="C116" s="65" t="s">
        <v>983</v>
      </c>
      <c r="D116" s="65" t="s">
        <v>984</v>
      </c>
      <c r="E116" s="65" t="s">
        <v>985</v>
      </c>
      <c r="F116" s="65" t="s">
        <v>986</v>
      </c>
      <c r="G116" s="65" t="s">
        <v>987</v>
      </c>
      <c r="H116" s="65" t="s">
        <v>52</v>
      </c>
      <c r="I116" s="65" t="s">
        <v>726</v>
      </c>
    </row>
    <row r="117" spans="1:9" ht="45" x14ac:dyDescent="0.25">
      <c r="A117" s="64">
        <v>64</v>
      </c>
      <c r="B117" s="65" t="s">
        <v>904</v>
      </c>
      <c r="C117" s="65" t="s">
        <v>988</v>
      </c>
      <c r="D117" s="65" t="s">
        <v>989</v>
      </c>
      <c r="E117" s="65" t="s">
        <v>989</v>
      </c>
      <c r="F117" s="65" t="s">
        <v>734</v>
      </c>
      <c r="G117" s="65" t="s">
        <v>990</v>
      </c>
      <c r="H117" s="65" t="s">
        <v>52</v>
      </c>
      <c r="I117" s="65" t="s">
        <v>726</v>
      </c>
    </row>
    <row r="118" spans="1:9" ht="60" x14ac:dyDescent="0.25">
      <c r="A118" s="64">
        <v>65</v>
      </c>
      <c r="B118" s="65" t="s">
        <v>991</v>
      </c>
      <c r="C118" s="65" t="s">
        <v>992</v>
      </c>
      <c r="D118" s="65" t="s">
        <v>993</v>
      </c>
      <c r="E118" s="65" t="s">
        <v>993</v>
      </c>
      <c r="F118" s="65" t="s">
        <v>734</v>
      </c>
      <c r="G118" s="65" t="s">
        <v>994</v>
      </c>
      <c r="H118" s="65" t="s">
        <v>52</v>
      </c>
      <c r="I118" s="65" t="s">
        <v>726</v>
      </c>
    </row>
    <row r="119" spans="1:9" ht="45" x14ac:dyDescent="0.25">
      <c r="A119" s="64">
        <v>66</v>
      </c>
      <c r="B119" s="65" t="s">
        <v>991</v>
      </c>
      <c r="C119" s="65" t="s">
        <v>995</v>
      </c>
      <c r="D119" s="65" t="s">
        <v>996</v>
      </c>
      <c r="E119" s="65" t="s">
        <v>996</v>
      </c>
      <c r="F119" s="65" t="s">
        <v>734</v>
      </c>
      <c r="G119" s="65" t="s">
        <v>997</v>
      </c>
      <c r="H119" s="65" t="s">
        <v>52</v>
      </c>
      <c r="I119" s="65" t="s">
        <v>726</v>
      </c>
    </row>
    <row r="120" spans="1:9" ht="30" x14ac:dyDescent="0.25">
      <c r="A120" s="64">
        <v>67</v>
      </c>
      <c r="B120" s="65" t="s">
        <v>991</v>
      </c>
      <c r="C120" s="65" t="s">
        <v>998</v>
      </c>
      <c r="D120" s="65" t="s">
        <v>999</v>
      </c>
      <c r="E120" s="65" t="s">
        <v>1000</v>
      </c>
      <c r="F120" s="65" t="s">
        <v>1001</v>
      </c>
      <c r="G120" s="65" t="s">
        <v>1002</v>
      </c>
      <c r="H120" s="65" t="s">
        <v>52</v>
      </c>
      <c r="I120" s="65" t="s">
        <v>780</v>
      </c>
    </row>
    <row r="121" spans="1:9" ht="45" x14ac:dyDescent="0.25">
      <c r="A121" s="64">
        <v>68</v>
      </c>
      <c r="B121" s="65" t="s">
        <v>991</v>
      </c>
      <c r="C121" s="65" t="s">
        <v>1003</v>
      </c>
      <c r="D121" s="65" t="s">
        <v>1004</v>
      </c>
      <c r="E121" s="65" t="s">
        <v>1004</v>
      </c>
      <c r="F121" s="65" t="s">
        <v>734</v>
      </c>
      <c r="G121" s="65" t="s">
        <v>1005</v>
      </c>
      <c r="H121" s="65" t="s">
        <v>52</v>
      </c>
      <c r="I121" s="65" t="s">
        <v>769</v>
      </c>
    </row>
    <row r="122" spans="1:9" ht="30" x14ac:dyDescent="0.25">
      <c r="A122" s="64">
        <v>69</v>
      </c>
      <c r="B122" s="65" t="s">
        <v>991</v>
      </c>
      <c r="C122" s="65" t="s">
        <v>1006</v>
      </c>
      <c r="D122" s="65" t="s">
        <v>1007</v>
      </c>
      <c r="E122" s="65" t="s">
        <v>1008</v>
      </c>
      <c r="F122" s="65" t="s">
        <v>1009</v>
      </c>
      <c r="G122" s="65" t="s">
        <v>1010</v>
      </c>
      <c r="H122" s="65" t="s">
        <v>52</v>
      </c>
      <c r="I122" s="65" t="s">
        <v>769</v>
      </c>
    </row>
    <row r="123" spans="1:9" ht="60" x14ac:dyDescent="0.25">
      <c r="A123" s="64">
        <v>70</v>
      </c>
      <c r="B123" s="65" t="s">
        <v>1011</v>
      </c>
      <c r="C123" s="65" t="s">
        <v>1012</v>
      </c>
      <c r="D123" s="65" t="s">
        <v>1013</v>
      </c>
      <c r="E123" s="65" t="s">
        <v>1013</v>
      </c>
      <c r="F123" s="65" t="s">
        <v>734</v>
      </c>
      <c r="G123" s="65" t="s">
        <v>1014</v>
      </c>
      <c r="H123" s="65" t="s">
        <v>52</v>
      </c>
      <c r="I123" s="65" t="s">
        <v>726</v>
      </c>
    </row>
    <row r="124" spans="1:9" ht="45" x14ac:dyDescent="0.25">
      <c r="A124" s="64">
        <v>71</v>
      </c>
      <c r="B124" s="65" t="s">
        <v>1011</v>
      </c>
      <c r="C124" s="65" t="s">
        <v>1015</v>
      </c>
      <c r="D124" s="65" t="s">
        <v>1016</v>
      </c>
      <c r="E124" s="65" t="s">
        <v>1016</v>
      </c>
      <c r="F124" s="65" t="s">
        <v>734</v>
      </c>
      <c r="G124" s="65" t="s">
        <v>1017</v>
      </c>
      <c r="H124" s="65" t="s">
        <v>52</v>
      </c>
      <c r="I124" s="65" t="s">
        <v>769</v>
      </c>
    </row>
    <row r="125" spans="1:9" ht="60" x14ac:dyDescent="0.25">
      <c r="A125" s="64">
        <v>72</v>
      </c>
      <c r="B125" s="65" t="s">
        <v>1011</v>
      </c>
      <c r="C125" s="65" t="s">
        <v>1018</v>
      </c>
      <c r="D125" s="65" t="s">
        <v>1019</v>
      </c>
      <c r="E125" s="65" t="s">
        <v>1019</v>
      </c>
      <c r="F125" s="65" t="s">
        <v>734</v>
      </c>
      <c r="G125" s="65" t="s">
        <v>1020</v>
      </c>
      <c r="H125" s="65" t="s">
        <v>52</v>
      </c>
      <c r="I125" s="65" t="s">
        <v>726</v>
      </c>
    </row>
    <row r="126" spans="1:9" ht="60" x14ac:dyDescent="0.25">
      <c r="A126" s="64">
        <v>73</v>
      </c>
      <c r="B126" s="65" t="s">
        <v>1011</v>
      </c>
      <c r="C126" s="65" t="s">
        <v>1021</v>
      </c>
      <c r="D126" s="65" t="s">
        <v>1022</v>
      </c>
      <c r="E126" s="65" t="s">
        <v>1022</v>
      </c>
      <c r="F126" s="65" t="s">
        <v>734</v>
      </c>
      <c r="G126" s="65" t="s">
        <v>1023</v>
      </c>
      <c r="H126" s="65" t="s">
        <v>52</v>
      </c>
      <c r="I126" s="65" t="s">
        <v>769</v>
      </c>
    </row>
    <row r="127" spans="1:9" ht="45" x14ac:dyDescent="0.25">
      <c r="A127" s="64">
        <v>74</v>
      </c>
      <c r="B127" s="65" t="s">
        <v>1011</v>
      </c>
      <c r="C127" s="65" t="s">
        <v>1024</v>
      </c>
      <c r="D127" s="65" t="s">
        <v>1025</v>
      </c>
      <c r="E127" s="65" t="s">
        <v>1025</v>
      </c>
      <c r="F127" s="65" t="s">
        <v>734</v>
      </c>
      <c r="G127" s="65" t="s">
        <v>1026</v>
      </c>
      <c r="H127" s="65" t="s">
        <v>52</v>
      </c>
      <c r="I127" s="65" t="s">
        <v>769</v>
      </c>
    </row>
    <row r="128" spans="1:9" ht="45" x14ac:dyDescent="0.25">
      <c r="A128" s="64">
        <v>75</v>
      </c>
      <c r="B128" s="65" t="s">
        <v>1027</v>
      </c>
      <c r="C128" s="65" t="s">
        <v>1028</v>
      </c>
      <c r="D128" s="65" t="s">
        <v>1029</v>
      </c>
      <c r="E128" s="65" t="s">
        <v>1030</v>
      </c>
      <c r="F128" s="65" t="s">
        <v>1031</v>
      </c>
      <c r="G128" s="65" t="s">
        <v>1032</v>
      </c>
      <c r="H128" s="65" t="s">
        <v>52</v>
      </c>
      <c r="I128" s="65" t="s">
        <v>726</v>
      </c>
    </row>
    <row r="129" spans="1:9" ht="30" x14ac:dyDescent="0.25">
      <c r="A129" s="64">
        <v>76</v>
      </c>
      <c r="B129" s="65" t="s">
        <v>1027</v>
      </c>
      <c r="C129" s="65" t="s">
        <v>1033</v>
      </c>
      <c r="D129" s="65" t="s">
        <v>1034</v>
      </c>
      <c r="E129" s="65" t="s">
        <v>1035</v>
      </c>
      <c r="F129" s="65" t="s">
        <v>868</v>
      </c>
      <c r="G129" s="65" t="s">
        <v>1036</v>
      </c>
      <c r="H129" s="65" t="s">
        <v>52</v>
      </c>
      <c r="I129" s="65" t="s">
        <v>726</v>
      </c>
    </row>
    <row r="130" spans="1:9" ht="30" x14ac:dyDescent="0.25">
      <c r="A130" s="64">
        <v>77</v>
      </c>
      <c r="B130" s="65" t="s">
        <v>1027</v>
      </c>
      <c r="C130" s="65" t="s">
        <v>1037</v>
      </c>
      <c r="D130" s="65" t="s">
        <v>844</v>
      </c>
      <c r="E130" s="65" t="s">
        <v>844</v>
      </c>
      <c r="F130" s="65" t="s">
        <v>734</v>
      </c>
      <c r="G130" s="65" t="s">
        <v>1038</v>
      </c>
      <c r="H130" s="65" t="s">
        <v>52</v>
      </c>
      <c r="I130" s="65" t="s">
        <v>726</v>
      </c>
    </row>
    <row r="131" spans="1:9" ht="30" x14ac:dyDescent="0.25">
      <c r="A131" s="64">
        <v>78</v>
      </c>
      <c r="B131" s="65" t="s">
        <v>1027</v>
      </c>
      <c r="C131" s="65" t="s">
        <v>1039</v>
      </c>
      <c r="D131" s="65" t="s">
        <v>1040</v>
      </c>
      <c r="E131" s="65" t="s">
        <v>1040</v>
      </c>
      <c r="F131" s="65" t="s">
        <v>734</v>
      </c>
      <c r="G131" s="65" t="s">
        <v>1041</v>
      </c>
      <c r="H131" s="65" t="s">
        <v>52</v>
      </c>
      <c r="I131" s="65" t="s">
        <v>726</v>
      </c>
    </row>
    <row r="132" spans="1:9" ht="30" x14ac:dyDescent="0.25">
      <c r="A132" s="64">
        <v>79</v>
      </c>
      <c r="B132" s="65" t="s">
        <v>1027</v>
      </c>
      <c r="C132" s="65" t="s">
        <v>1042</v>
      </c>
      <c r="D132" s="65" t="s">
        <v>1043</v>
      </c>
      <c r="E132" s="65" t="s">
        <v>1044</v>
      </c>
      <c r="F132" s="65" t="s">
        <v>1045</v>
      </c>
      <c r="G132" s="65" t="s">
        <v>1046</v>
      </c>
      <c r="H132" s="65" t="s">
        <v>52</v>
      </c>
      <c r="I132" s="65" t="s">
        <v>769</v>
      </c>
    </row>
    <row r="133" spans="1:9" ht="30" x14ac:dyDescent="0.25">
      <c r="A133" s="64">
        <v>80</v>
      </c>
      <c r="B133" s="65" t="s">
        <v>1027</v>
      </c>
      <c r="C133" s="65" t="s">
        <v>1047</v>
      </c>
      <c r="D133" s="65" t="s">
        <v>1048</v>
      </c>
      <c r="E133" s="65" t="s">
        <v>1049</v>
      </c>
      <c r="F133" s="65" t="s">
        <v>1050</v>
      </c>
      <c r="G133" s="65" t="s">
        <v>1051</v>
      </c>
      <c r="H133" s="65" t="s">
        <v>52</v>
      </c>
      <c r="I133" s="65" t="s">
        <v>769</v>
      </c>
    </row>
    <row r="134" spans="1:9" ht="30" x14ac:dyDescent="0.25">
      <c r="A134" s="64">
        <v>81</v>
      </c>
      <c r="B134" s="65" t="s">
        <v>1027</v>
      </c>
      <c r="C134" s="65" t="s">
        <v>1052</v>
      </c>
      <c r="D134" s="65" t="s">
        <v>1053</v>
      </c>
      <c r="E134" s="65" t="s">
        <v>1054</v>
      </c>
      <c r="F134" s="65" t="s">
        <v>1055</v>
      </c>
      <c r="G134" s="65" t="s">
        <v>1056</v>
      </c>
      <c r="H134" s="65" t="s">
        <v>52</v>
      </c>
      <c r="I134" s="65" t="s">
        <v>769</v>
      </c>
    </row>
    <row r="135" spans="1:9" ht="30" x14ac:dyDescent="0.25">
      <c r="A135" s="64">
        <v>82</v>
      </c>
      <c r="B135" s="65" t="s">
        <v>1027</v>
      </c>
      <c r="C135" s="65" t="s">
        <v>1057</v>
      </c>
      <c r="D135" s="65" t="s">
        <v>1058</v>
      </c>
      <c r="E135" s="65" t="s">
        <v>1059</v>
      </c>
      <c r="F135" s="65" t="s">
        <v>1060</v>
      </c>
      <c r="G135" s="65" t="s">
        <v>1061</v>
      </c>
      <c r="H135" s="65" t="s">
        <v>52</v>
      </c>
      <c r="I135" s="65" t="s">
        <v>769</v>
      </c>
    </row>
    <row r="136" spans="1:9" ht="45" x14ac:dyDescent="0.25">
      <c r="A136" s="64">
        <v>83</v>
      </c>
      <c r="B136" s="65" t="s">
        <v>1062</v>
      </c>
      <c r="C136" s="65" t="s">
        <v>1063</v>
      </c>
      <c r="D136" s="65" t="s">
        <v>1064</v>
      </c>
      <c r="E136" s="65" t="s">
        <v>1065</v>
      </c>
      <c r="F136" s="65" t="s">
        <v>1066</v>
      </c>
      <c r="G136" s="65" t="s">
        <v>1067</v>
      </c>
      <c r="H136" s="65" t="s">
        <v>52</v>
      </c>
      <c r="I136" s="65" t="s">
        <v>726</v>
      </c>
    </row>
    <row r="137" spans="1:9" ht="45" x14ac:dyDescent="0.25">
      <c r="A137" s="64">
        <v>84</v>
      </c>
      <c r="B137" s="65" t="s">
        <v>1062</v>
      </c>
      <c r="C137" s="65" t="s">
        <v>1068</v>
      </c>
      <c r="D137" s="65" t="s">
        <v>1069</v>
      </c>
      <c r="E137" s="65" t="s">
        <v>1070</v>
      </c>
      <c r="F137" s="65" t="s">
        <v>1071</v>
      </c>
      <c r="G137" s="65" t="s">
        <v>1072</v>
      </c>
      <c r="H137" s="65" t="s">
        <v>52</v>
      </c>
      <c r="I137" s="65" t="s">
        <v>769</v>
      </c>
    </row>
    <row r="138" spans="1:9" ht="45" x14ac:dyDescent="0.25">
      <c r="A138" s="64">
        <v>85</v>
      </c>
      <c r="B138" s="65" t="s">
        <v>1062</v>
      </c>
      <c r="C138" s="65" t="s">
        <v>1073</v>
      </c>
      <c r="D138" s="65" t="s">
        <v>1074</v>
      </c>
      <c r="E138" s="65" t="s">
        <v>1075</v>
      </c>
      <c r="F138" s="65" t="s">
        <v>1076</v>
      </c>
      <c r="G138" s="65" t="s">
        <v>1077</v>
      </c>
      <c r="H138" s="65" t="s">
        <v>52</v>
      </c>
      <c r="I138" s="65" t="s">
        <v>769</v>
      </c>
    </row>
    <row r="139" spans="1:9" ht="45" x14ac:dyDescent="0.25">
      <c r="A139" s="64">
        <v>86</v>
      </c>
      <c r="B139" s="65" t="s">
        <v>1062</v>
      </c>
      <c r="C139" s="65" t="s">
        <v>1078</v>
      </c>
      <c r="D139" s="65" t="s">
        <v>1079</v>
      </c>
      <c r="E139" s="65" t="s">
        <v>1080</v>
      </c>
      <c r="F139" s="65" t="s">
        <v>1081</v>
      </c>
      <c r="G139" s="65" t="s">
        <v>1082</v>
      </c>
      <c r="H139" s="65" t="s">
        <v>52</v>
      </c>
      <c r="I139" s="65" t="s">
        <v>726</v>
      </c>
    </row>
    <row r="140" spans="1:9" ht="45" x14ac:dyDescent="0.25">
      <c r="A140" s="64">
        <v>87</v>
      </c>
      <c r="B140" s="65" t="s">
        <v>1062</v>
      </c>
      <c r="C140" s="65" t="s">
        <v>1083</v>
      </c>
      <c r="D140" s="65" t="s">
        <v>1084</v>
      </c>
      <c r="E140" s="65" t="s">
        <v>1085</v>
      </c>
      <c r="F140" s="65" t="s">
        <v>1086</v>
      </c>
      <c r="G140" s="65" t="s">
        <v>1087</v>
      </c>
      <c r="H140" s="65" t="s">
        <v>52</v>
      </c>
      <c r="I140" s="65" t="s">
        <v>769</v>
      </c>
    </row>
    <row r="141" spans="1:9" ht="45" x14ac:dyDescent="0.25">
      <c r="A141" s="64">
        <v>88</v>
      </c>
      <c r="B141" s="65" t="s">
        <v>1062</v>
      </c>
      <c r="C141" s="65" t="s">
        <v>1088</v>
      </c>
      <c r="D141" s="65" t="s">
        <v>1089</v>
      </c>
      <c r="E141" s="65" t="s">
        <v>1090</v>
      </c>
      <c r="F141" s="65" t="s">
        <v>576</v>
      </c>
      <c r="G141" s="65" t="s">
        <v>1091</v>
      </c>
      <c r="H141" s="65" t="s">
        <v>52</v>
      </c>
      <c r="I141" s="65" t="s">
        <v>769</v>
      </c>
    </row>
    <row r="142" spans="1:9" ht="60" x14ac:dyDescent="0.25">
      <c r="A142" s="64">
        <v>89</v>
      </c>
      <c r="B142" s="65" t="s">
        <v>1062</v>
      </c>
      <c r="C142" s="65" t="s">
        <v>1092</v>
      </c>
      <c r="D142" s="65" t="s">
        <v>1093</v>
      </c>
      <c r="E142" s="65" t="s">
        <v>1094</v>
      </c>
      <c r="F142" s="65" t="s">
        <v>1095</v>
      </c>
      <c r="G142" s="65" t="s">
        <v>1096</v>
      </c>
      <c r="H142" s="65" t="s">
        <v>52</v>
      </c>
      <c r="I142" s="65" t="s">
        <v>726</v>
      </c>
    </row>
    <row r="143" spans="1:9" ht="45" x14ac:dyDescent="0.25">
      <c r="A143" s="64">
        <v>90</v>
      </c>
      <c r="B143" s="65" t="s">
        <v>1062</v>
      </c>
      <c r="C143" s="65" t="s">
        <v>1097</v>
      </c>
      <c r="D143" s="65" t="s">
        <v>1098</v>
      </c>
      <c r="E143" s="65" t="s">
        <v>1099</v>
      </c>
      <c r="F143" s="65" t="s">
        <v>1100</v>
      </c>
      <c r="G143" s="65" t="s">
        <v>1101</v>
      </c>
      <c r="H143" s="65" t="s">
        <v>52</v>
      </c>
      <c r="I143" s="65" t="s">
        <v>769</v>
      </c>
    </row>
    <row r="144" spans="1:9" ht="45" x14ac:dyDescent="0.25">
      <c r="A144" s="64">
        <v>91</v>
      </c>
      <c r="B144" s="65" t="s">
        <v>1102</v>
      </c>
      <c r="C144" s="65" t="s">
        <v>1103</v>
      </c>
      <c r="D144" s="65" t="s">
        <v>1104</v>
      </c>
      <c r="E144" s="65" t="s">
        <v>1105</v>
      </c>
      <c r="F144" s="65" t="s">
        <v>1106</v>
      </c>
      <c r="G144" s="65" t="s">
        <v>1107</v>
      </c>
      <c r="H144" s="65" t="s">
        <v>52</v>
      </c>
      <c r="I144" s="65" t="s">
        <v>726</v>
      </c>
    </row>
    <row r="145" spans="1:9" ht="45" x14ac:dyDescent="0.25">
      <c r="A145" s="64">
        <v>92</v>
      </c>
      <c r="B145" s="65" t="s">
        <v>1102</v>
      </c>
      <c r="C145" s="65" t="s">
        <v>1108</v>
      </c>
      <c r="D145" s="65" t="s">
        <v>1109</v>
      </c>
      <c r="E145" s="65" t="s">
        <v>1110</v>
      </c>
      <c r="F145" s="65" t="s">
        <v>1111</v>
      </c>
      <c r="G145" s="65" t="s">
        <v>1112</v>
      </c>
      <c r="H145" s="65" t="s">
        <v>52</v>
      </c>
      <c r="I145" s="65" t="s">
        <v>726</v>
      </c>
    </row>
    <row r="146" spans="1:9" ht="45" x14ac:dyDescent="0.25">
      <c r="A146" s="64">
        <v>93</v>
      </c>
      <c r="B146" s="65" t="s">
        <v>1102</v>
      </c>
      <c r="C146" s="65" t="s">
        <v>1113</v>
      </c>
      <c r="D146" s="65" t="s">
        <v>1114</v>
      </c>
      <c r="E146" s="65" t="s">
        <v>1115</v>
      </c>
      <c r="F146" s="65" t="s">
        <v>1116</v>
      </c>
      <c r="G146" s="65" t="s">
        <v>1117</v>
      </c>
      <c r="H146" s="65" t="s">
        <v>52</v>
      </c>
      <c r="I146" s="65" t="s">
        <v>769</v>
      </c>
    </row>
    <row r="147" spans="1:9" ht="45" x14ac:dyDescent="0.25">
      <c r="A147" s="64">
        <v>94</v>
      </c>
      <c r="B147" s="65" t="s">
        <v>1102</v>
      </c>
      <c r="C147" s="65" t="s">
        <v>1118</v>
      </c>
      <c r="D147" s="65" t="s">
        <v>1119</v>
      </c>
      <c r="E147" s="65" t="s">
        <v>1120</v>
      </c>
      <c r="F147" s="65" t="s">
        <v>1121</v>
      </c>
      <c r="G147" s="65" t="s">
        <v>1122</v>
      </c>
      <c r="H147" s="65" t="s">
        <v>52</v>
      </c>
      <c r="I147" s="65" t="s">
        <v>769</v>
      </c>
    </row>
    <row r="148" spans="1:9" ht="45" x14ac:dyDescent="0.25">
      <c r="A148" s="64">
        <v>95</v>
      </c>
      <c r="B148" s="65" t="s">
        <v>1102</v>
      </c>
      <c r="C148" s="65" t="s">
        <v>1123</v>
      </c>
      <c r="D148" s="65" t="s">
        <v>1124</v>
      </c>
      <c r="E148" s="65" t="s">
        <v>1124</v>
      </c>
      <c r="F148" s="65" t="s">
        <v>734</v>
      </c>
      <c r="G148" s="65" t="s">
        <v>1125</v>
      </c>
      <c r="H148" s="65" t="s">
        <v>52</v>
      </c>
      <c r="I148" s="65" t="s">
        <v>726</v>
      </c>
    </row>
    <row r="149" spans="1:9" ht="45" x14ac:dyDescent="0.25">
      <c r="A149" s="64">
        <v>96</v>
      </c>
      <c r="B149" s="65" t="s">
        <v>1102</v>
      </c>
      <c r="C149" s="65" t="s">
        <v>1126</v>
      </c>
      <c r="D149" s="65" t="s">
        <v>1127</v>
      </c>
      <c r="E149" s="65" t="s">
        <v>1128</v>
      </c>
      <c r="F149" s="65" t="s">
        <v>1129</v>
      </c>
      <c r="G149" s="65" t="s">
        <v>1130</v>
      </c>
      <c r="H149" s="65" t="s">
        <v>52</v>
      </c>
      <c r="I149" s="65" t="s">
        <v>769</v>
      </c>
    </row>
    <row r="150" spans="1:9" ht="45" x14ac:dyDescent="0.25">
      <c r="A150" s="64">
        <v>97</v>
      </c>
      <c r="B150" s="65" t="s">
        <v>1102</v>
      </c>
      <c r="C150" s="65" t="s">
        <v>1131</v>
      </c>
      <c r="D150" s="65" t="s">
        <v>1132</v>
      </c>
      <c r="E150" s="65" t="s">
        <v>1133</v>
      </c>
      <c r="F150" s="65" t="s">
        <v>1134</v>
      </c>
      <c r="G150" s="65" t="s">
        <v>1135</v>
      </c>
      <c r="H150" s="65" t="s">
        <v>52</v>
      </c>
      <c r="I150" s="65" t="s">
        <v>769</v>
      </c>
    </row>
    <row r="151" spans="1:9" ht="60" x14ac:dyDescent="0.25">
      <c r="A151" s="64">
        <v>98</v>
      </c>
      <c r="B151" s="65" t="s">
        <v>1102</v>
      </c>
      <c r="C151" s="65" t="s">
        <v>1136</v>
      </c>
      <c r="D151" s="65" t="s">
        <v>1137</v>
      </c>
      <c r="E151" s="65" t="s">
        <v>1137</v>
      </c>
      <c r="F151" s="65" t="s">
        <v>734</v>
      </c>
      <c r="G151" s="65" t="s">
        <v>1138</v>
      </c>
      <c r="H151" s="65" t="s">
        <v>52</v>
      </c>
      <c r="I151" s="65" t="s">
        <v>769</v>
      </c>
    </row>
    <row r="152" spans="1:9" ht="45" x14ac:dyDescent="0.25">
      <c r="A152" s="64">
        <v>99</v>
      </c>
      <c r="B152" s="65" t="s">
        <v>1102</v>
      </c>
      <c r="C152" s="65" t="s">
        <v>1139</v>
      </c>
      <c r="D152" s="65" t="s">
        <v>1140</v>
      </c>
      <c r="E152" s="65" t="s">
        <v>1141</v>
      </c>
      <c r="F152" s="65" t="s">
        <v>1142</v>
      </c>
      <c r="G152" s="65" t="s">
        <v>1143</v>
      </c>
      <c r="H152" s="65" t="s">
        <v>52</v>
      </c>
      <c r="I152" s="65" t="s">
        <v>780</v>
      </c>
    </row>
    <row r="153" spans="1:9" ht="45" x14ac:dyDescent="0.25">
      <c r="A153" s="64">
        <v>100</v>
      </c>
      <c r="B153" s="65" t="s">
        <v>1144</v>
      </c>
      <c r="C153" s="65" t="s">
        <v>1145</v>
      </c>
      <c r="D153" s="65" t="s">
        <v>1146</v>
      </c>
      <c r="E153" s="65" t="s">
        <v>1146</v>
      </c>
      <c r="F153" s="65" t="s">
        <v>734</v>
      </c>
      <c r="G153" s="65" t="s">
        <v>1147</v>
      </c>
      <c r="H153" s="65" t="s">
        <v>52</v>
      </c>
      <c r="I153" s="65" t="s">
        <v>726</v>
      </c>
    </row>
    <row r="154" spans="1:9" ht="45" x14ac:dyDescent="0.25">
      <c r="A154" s="64">
        <v>101</v>
      </c>
      <c r="B154" s="65" t="s">
        <v>1144</v>
      </c>
      <c r="C154" s="65" t="s">
        <v>1148</v>
      </c>
      <c r="D154" s="65" t="s">
        <v>1149</v>
      </c>
      <c r="E154" s="65" t="s">
        <v>1149</v>
      </c>
      <c r="F154" s="65" t="s">
        <v>734</v>
      </c>
      <c r="G154" s="65" t="s">
        <v>1150</v>
      </c>
      <c r="H154" s="65" t="s">
        <v>52</v>
      </c>
      <c r="I154" s="65" t="s">
        <v>726</v>
      </c>
    </row>
    <row r="155" spans="1:9" ht="45" x14ac:dyDescent="0.25">
      <c r="A155" s="64">
        <v>102</v>
      </c>
      <c r="B155" s="65" t="s">
        <v>1144</v>
      </c>
      <c r="C155" s="65" t="s">
        <v>1151</v>
      </c>
      <c r="D155" s="65" t="s">
        <v>1152</v>
      </c>
      <c r="E155" s="65" t="s">
        <v>1152</v>
      </c>
      <c r="F155" s="65" t="s">
        <v>734</v>
      </c>
      <c r="G155" s="65" t="s">
        <v>1153</v>
      </c>
      <c r="H155" s="65" t="s">
        <v>52</v>
      </c>
      <c r="I155" s="65" t="s">
        <v>726</v>
      </c>
    </row>
    <row r="156" spans="1:9" ht="45" x14ac:dyDescent="0.25">
      <c r="A156" s="64">
        <v>103</v>
      </c>
      <c r="B156" s="65" t="s">
        <v>1144</v>
      </c>
      <c r="C156" s="65" t="s">
        <v>1154</v>
      </c>
      <c r="D156" s="65" t="s">
        <v>1155</v>
      </c>
      <c r="E156" s="65" t="s">
        <v>1156</v>
      </c>
      <c r="F156" s="65" t="s">
        <v>1157</v>
      </c>
      <c r="G156" s="65" t="s">
        <v>1158</v>
      </c>
      <c r="H156" s="65" t="s">
        <v>52</v>
      </c>
      <c r="I156" s="65" t="s">
        <v>769</v>
      </c>
    </row>
    <row r="157" spans="1:9" ht="60" x14ac:dyDescent="0.25">
      <c r="A157" s="64">
        <v>104</v>
      </c>
      <c r="B157" s="65" t="s">
        <v>1144</v>
      </c>
      <c r="C157" s="65" t="s">
        <v>1159</v>
      </c>
      <c r="D157" s="65" t="s">
        <v>1160</v>
      </c>
      <c r="E157" s="65" t="s">
        <v>1160</v>
      </c>
      <c r="F157" s="65" t="s">
        <v>734</v>
      </c>
      <c r="G157" s="65" t="s">
        <v>1161</v>
      </c>
      <c r="H157" s="65" t="s">
        <v>52</v>
      </c>
      <c r="I157" s="65" t="s">
        <v>726</v>
      </c>
    </row>
    <row r="158" spans="1:9" ht="45" x14ac:dyDescent="0.25">
      <c r="A158" s="64">
        <v>105</v>
      </c>
      <c r="B158" s="65" t="s">
        <v>1162</v>
      </c>
      <c r="C158" s="65" t="s">
        <v>1163</v>
      </c>
      <c r="D158" s="65" t="s">
        <v>1164</v>
      </c>
      <c r="E158" s="65" t="s">
        <v>1164</v>
      </c>
      <c r="F158" s="65" t="s">
        <v>734</v>
      </c>
      <c r="G158" s="65" t="s">
        <v>1165</v>
      </c>
      <c r="H158" s="65" t="s">
        <v>52</v>
      </c>
      <c r="I158" s="65" t="s">
        <v>726</v>
      </c>
    </row>
    <row r="159" spans="1:9" ht="60" x14ac:dyDescent="0.25">
      <c r="A159" s="64">
        <v>106</v>
      </c>
      <c r="B159" s="65" t="s">
        <v>1162</v>
      </c>
      <c r="C159" s="65" t="s">
        <v>1166</v>
      </c>
      <c r="D159" s="65" t="s">
        <v>1167</v>
      </c>
      <c r="E159" s="65" t="s">
        <v>1168</v>
      </c>
      <c r="F159" s="65" t="s">
        <v>734</v>
      </c>
      <c r="G159" s="65" t="s">
        <v>1169</v>
      </c>
      <c r="H159" s="65" t="s">
        <v>52</v>
      </c>
      <c r="I159" s="65" t="s">
        <v>726</v>
      </c>
    </row>
    <row r="160" spans="1:9" ht="45" x14ac:dyDescent="0.25">
      <c r="A160" s="64">
        <v>107</v>
      </c>
      <c r="B160" s="65" t="s">
        <v>1162</v>
      </c>
      <c r="C160" s="65" t="s">
        <v>1170</v>
      </c>
      <c r="D160" s="65" t="s">
        <v>1171</v>
      </c>
      <c r="E160" s="65" t="s">
        <v>1171</v>
      </c>
      <c r="F160" s="65" t="s">
        <v>734</v>
      </c>
      <c r="G160" s="65" t="s">
        <v>1172</v>
      </c>
      <c r="H160" s="65" t="s">
        <v>52</v>
      </c>
      <c r="I160" s="65" t="s">
        <v>769</v>
      </c>
    </row>
    <row r="161" spans="1:9" ht="45" x14ac:dyDescent="0.25">
      <c r="A161" s="64">
        <v>108</v>
      </c>
      <c r="B161" s="65" t="s">
        <v>1162</v>
      </c>
      <c r="C161" s="65" t="s">
        <v>1173</v>
      </c>
      <c r="D161" s="65" t="s">
        <v>1174</v>
      </c>
      <c r="E161" s="65" t="s">
        <v>1174</v>
      </c>
      <c r="F161" s="65" t="s">
        <v>734</v>
      </c>
      <c r="G161" s="65" t="s">
        <v>1175</v>
      </c>
      <c r="H161" s="65" t="s">
        <v>52</v>
      </c>
      <c r="I161" s="65" t="s">
        <v>769</v>
      </c>
    </row>
    <row r="162" spans="1:9" ht="45" x14ac:dyDescent="0.25">
      <c r="A162" s="64">
        <v>109</v>
      </c>
      <c r="B162" s="65" t="s">
        <v>1162</v>
      </c>
      <c r="C162" s="65" t="s">
        <v>1176</v>
      </c>
      <c r="D162" s="65" t="s">
        <v>1177</v>
      </c>
      <c r="E162" s="65" t="s">
        <v>1178</v>
      </c>
      <c r="F162" s="65" t="s">
        <v>1179</v>
      </c>
      <c r="G162" s="65" t="s">
        <v>1180</v>
      </c>
      <c r="H162" s="65" t="s">
        <v>52</v>
      </c>
      <c r="I162" s="65" t="s">
        <v>726</v>
      </c>
    </row>
    <row r="163" spans="1:9" ht="45" x14ac:dyDescent="0.25">
      <c r="A163" s="64">
        <v>110</v>
      </c>
      <c r="B163" s="65" t="s">
        <v>1162</v>
      </c>
      <c r="C163" s="65" t="s">
        <v>1181</v>
      </c>
      <c r="D163" s="65" t="s">
        <v>1182</v>
      </c>
      <c r="E163" s="65" t="s">
        <v>1183</v>
      </c>
      <c r="F163" s="65" t="s">
        <v>1184</v>
      </c>
      <c r="G163" s="65" t="s">
        <v>1185</v>
      </c>
      <c r="H163" s="65" t="s">
        <v>52</v>
      </c>
      <c r="I163" s="65" t="s">
        <v>726</v>
      </c>
    </row>
    <row r="164" spans="1:9" ht="45" x14ac:dyDescent="0.25">
      <c r="A164" s="64">
        <v>111</v>
      </c>
      <c r="B164" s="65" t="s">
        <v>1162</v>
      </c>
      <c r="C164" s="65" t="s">
        <v>1186</v>
      </c>
      <c r="D164" s="65" t="s">
        <v>1187</v>
      </c>
      <c r="E164" s="65" t="s">
        <v>1187</v>
      </c>
      <c r="F164" s="65" t="s">
        <v>734</v>
      </c>
      <c r="G164" s="65" t="s">
        <v>1188</v>
      </c>
      <c r="H164" s="65" t="s">
        <v>52</v>
      </c>
      <c r="I164" s="65" t="s">
        <v>769</v>
      </c>
    </row>
    <row r="165" spans="1:9" ht="60" x14ac:dyDescent="0.25">
      <c r="A165" s="64">
        <v>112</v>
      </c>
      <c r="B165" s="65" t="s">
        <v>1162</v>
      </c>
      <c r="C165" s="65" t="s">
        <v>1189</v>
      </c>
      <c r="D165" s="65" t="s">
        <v>1190</v>
      </c>
      <c r="E165" s="65" t="s">
        <v>1190</v>
      </c>
      <c r="F165" s="65" t="s">
        <v>734</v>
      </c>
      <c r="G165" s="65" t="s">
        <v>1191</v>
      </c>
      <c r="H165" s="65" t="s">
        <v>52</v>
      </c>
      <c r="I165" s="65" t="s">
        <v>769</v>
      </c>
    </row>
    <row r="166" spans="1:9" ht="60" x14ac:dyDescent="0.25">
      <c r="A166" s="64">
        <v>113</v>
      </c>
      <c r="B166" s="65" t="s">
        <v>1162</v>
      </c>
      <c r="C166" s="65" t="s">
        <v>1192</v>
      </c>
      <c r="D166" s="65" t="s">
        <v>1193</v>
      </c>
      <c r="E166" s="65" t="s">
        <v>1194</v>
      </c>
      <c r="F166" s="65" t="s">
        <v>734</v>
      </c>
      <c r="G166" s="65" t="s">
        <v>1195</v>
      </c>
      <c r="H166" s="65" t="s">
        <v>52</v>
      </c>
      <c r="I166" s="65" t="s">
        <v>726</v>
      </c>
    </row>
    <row r="167" spans="1:9" ht="60" x14ac:dyDescent="0.25">
      <c r="A167" s="64">
        <v>114</v>
      </c>
      <c r="B167" s="65" t="s">
        <v>1162</v>
      </c>
      <c r="C167" s="65" t="s">
        <v>1196</v>
      </c>
      <c r="D167" s="65" t="s">
        <v>1197</v>
      </c>
      <c r="E167" s="65" t="s">
        <v>1197</v>
      </c>
      <c r="F167" s="65" t="s">
        <v>734</v>
      </c>
      <c r="G167" s="65" t="s">
        <v>1198</v>
      </c>
      <c r="H167" s="65" t="s">
        <v>52</v>
      </c>
      <c r="I167" s="65" t="s">
        <v>769</v>
      </c>
    </row>
    <row r="168" spans="1:9" ht="45" x14ac:dyDescent="0.25">
      <c r="A168" s="64">
        <v>115</v>
      </c>
      <c r="B168" s="65" t="s">
        <v>1162</v>
      </c>
      <c r="C168" s="65" t="s">
        <v>1199</v>
      </c>
      <c r="D168" s="65" t="s">
        <v>1200</v>
      </c>
      <c r="E168" s="65" t="s">
        <v>1201</v>
      </c>
      <c r="F168" s="65" t="s">
        <v>1202</v>
      </c>
      <c r="G168" s="65" t="s">
        <v>1203</v>
      </c>
      <c r="H168" s="65" t="s">
        <v>52</v>
      </c>
      <c r="I168" s="65" t="s">
        <v>780</v>
      </c>
    </row>
    <row r="169" spans="1:9" ht="45" x14ac:dyDescent="0.25">
      <c r="A169" s="64">
        <v>116</v>
      </c>
      <c r="B169" s="65" t="s">
        <v>1162</v>
      </c>
      <c r="C169" s="65" t="s">
        <v>1204</v>
      </c>
      <c r="D169" s="65" t="s">
        <v>1205</v>
      </c>
      <c r="E169" s="65" t="s">
        <v>1206</v>
      </c>
      <c r="F169" s="65" t="s">
        <v>1207</v>
      </c>
      <c r="G169" s="65" t="s">
        <v>1208</v>
      </c>
      <c r="H169" s="65" t="s">
        <v>52</v>
      </c>
      <c r="I169" s="65" t="s">
        <v>726</v>
      </c>
    </row>
    <row r="170" spans="1:9" ht="60" x14ac:dyDescent="0.25">
      <c r="A170" s="64">
        <v>117</v>
      </c>
      <c r="B170" s="65" t="s">
        <v>1162</v>
      </c>
      <c r="C170" s="65" t="s">
        <v>1209</v>
      </c>
      <c r="D170" s="65" t="s">
        <v>1210</v>
      </c>
      <c r="E170" s="65" t="s">
        <v>1211</v>
      </c>
      <c r="F170" s="65" t="s">
        <v>734</v>
      </c>
      <c r="G170" s="65" t="s">
        <v>1212</v>
      </c>
      <c r="H170" s="65" t="s">
        <v>52</v>
      </c>
      <c r="I170" s="65" t="s">
        <v>769</v>
      </c>
    </row>
    <row r="171" spans="1:9" ht="45" x14ac:dyDescent="0.25">
      <c r="A171" s="64">
        <v>118</v>
      </c>
      <c r="B171" s="65" t="s">
        <v>1162</v>
      </c>
      <c r="C171" s="65" t="s">
        <v>1213</v>
      </c>
      <c r="D171" s="65" t="s">
        <v>1214</v>
      </c>
      <c r="E171" s="65" t="s">
        <v>1214</v>
      </c>
      <c r="F171" s="65" t="s">
        <v>734</v>
      </c>
      <c r="G171" s="65" t="s">
        <v>1215</v>
      </c>
      <c r="H171" s="65" t="s">
        <v>52</v>
      </c>
      <c r="I171" s="65" t="s">
        <v>769</v>
      </c>
    </row>
    <row r="172" spans="1:9" ht="45" x14ac:dyDescent="0.25">
      <c r="A172" s="64">
        <v>119</v>
      </c>
      <c r="B172" s="65" t="s">
        <v>1162</v>
      </c>
      <c r="C172" s="65" t="s">
        <v>1216</v>
      </c>
      <c r="D172" s="65" t="s">
        <v>1217</v>
      </c>
      <c r="E172" s="65" t="s">
        <v>1217</v>
      </c>
      <c r="F172" s="65" t="s">
        <v>734</v>
      </c>
      <c r="G172" s="65" t="s">
        <v>1218</v>
      </c>
      <c r="H172" s="65" t="s">
        <v>52</v>
      </c>
      <c r="I172" s="65" t="s">
        <v>726</v>
      </c>
    </row>
    <row r="173" spans="1:9" ht="60" x14ac:dyDescent="0.25">
      <c r="A173" s="64">
        <v>120</v>
      </c>
      <c r="B173" s="65" t="s">
        <v>1219</v>
      </c>
      <c r="C173" s="65" t="s">
        <v>1220</v>
      </c>
      <c r="D173" s="65" t="s">
        <v>1221</v>
      </c>
      <c r="E173" s="65" t="s">
        <v>1222</v>
      </c>
      <c r="F173" s="65" t="s">
        <v>734</v>
      </c>
      <c r="G173" s="65" t="s">
        <v>1223</v>
      </c>
      <c r="H173" s="65" t="s">
        <v>52</v>
      </c>
      <c r="I173" s="65" t="s">
        <v>769</v>
      </c>
    </row>
    <row r="174" spans="1:9" ht="30" x14ac:dyDescent="0.25">
      <c r="A174" s="64">
        <v>121</v>
      </c>
      <c r="B174" s="65" t="s">
        <v>1219</v>
      </c>
      <c r="C174" s="65" t="s">
        <v>1224</v>
      </c>
      <c r="D174" s="65" t="s">
        <v>1225</v>
      </c>
      <c r="E174" s="65" t="s">
        <v>1226</v>
      </c>
      <c r="F174" s="65" t="s">
        <v>1179</v>
      </c>
      <c r="G174" s="65" t="s">
        <v>1227</v>
      </c>
      <c r="H174" s="65" t="s">
        <v>52</v>
      </c>
      <c r="I174" s="65" t="s">
        <v>726</v>
      </c>
    </row>
    <row r="175" spans="1:9" ht="30" x14ac:dyDescent="0.25">
      <c r="A175" s="64">
        <v>122</v>
      </c>
      <c r="B175" s="65" t="s">
        <v>1219</v>
      </c>
      <c r="C175" s="65" t="s">
        <v>1228</v>
      </c>
      <c r="D175" s="65" t="s">
        <v>1229</v>
      </c>
      <c r="E175" s="65" t="s">
        <v>1230</v>
      </c>
      <c r="F175" s="65" t="s">
        <v>1231</v>
      </c>
      <c r="G175" s="65" t="s">
        <v>1232</v>
      </c>
      <c r="H175" s="65" t="s">
        <v>52</v>
      </c>
      <c r="I175" s="65" t="s">
        <v>769</v>
      </c>
    </row>
    <row r="176" spans="1:9" ht="30" x14ac:dyDescent="0.25">
      <c r="A176" s="64">
        <v>123</v>
      </c>
      <c r="B176" s="65" t="s">
        <v>1219</v>
      </c>
      <c r="C176" s="65" t="s">
        <v>1233</v>
      </c>
      <c r="D176" s="65" t="s">
        <v>1234</v>
      </c>
      <c r="E176" s="65" t="s">
        <v>1235</v>
      </c>
      <c r="F176" s="65" t="s">
        <v>1236</v>
      </c>
      <c r="G176" s="65" t="s">
        <v>1237</v>
      </c>
      <c r="H176" s="65" t="s">
        <v>52</v>
      </c>
      <c r="I176" s="65" t="s">
        <v>780</v>
      </c>
    </row>
    <row r="177" spans="1:9" ht="30" x14ac:dyDescent="0.25">
      <c r="A177" s="64">
        <v>124</v>
      </c>
      <c r="B177" s="65" t="s">
        <v>1219</v>
      </c>
      <c r="C177" s="65" t="s">
        <v>1238</v>
      </c>
      <c r="D177" s="65" t="s">
        <v>1239</v>
      </c>
      <c r="E177" s="65" t="s">
        <v>1240</v>
      </c>
      <c r="F177" s="65" t="s">
        <v>1241</v>
      </c>
      <c r="G177" s="65" t="s">
        <v>1242</v>
      </c>
      <c r="H177" s="65" t="s">
        <v>52</v>
      </c>
      <c r="I177" s="65" t="s">
        <v>726</v>
      </c>
    </row>
    <row r="178" spans="1:9" ht="45" x14ac:dyDescent="0.25">
      <c r="A178" s="64">
        <v>125</v>
      </c>
      <c r="B178" s="65" t="s">
        <v>1243</v>
      </c>
      <c r="C178" s="65" t="s">
        <v>1244</v>
      </c>
      <c r="D178" s="65" t="s">
        <v>1245</v>
      </c>
      <c r="E178" s="65" t="s">
        <v>1246</v>
      </c>
      <c r="F178" s="65" t="s">
        <v>1247</v>
      </c>
      <c r="G178" s="65" t="s">
        <v>1248</v>
      </c>
      <c r="H178" s="65" t="s">
        <v>52</v>
      </c>
      <c r="I178" s="65" t="s">
        <v>726</v>
      </c>
    </row>
    <row r="179" spans="1:9" ht="30" x14ac:dyDescent="0.25">
      <c r="A179" s="64">
        <v>126</v>
      </c>
      <c r="B179" s="65" t="s">
        <v>1243</v>
      </c>
      <c r="C179" s="65" t="s">
        <v>1249</v>
      </c>
      <c r="D179" s="65" t="s">
        <v>1250</v>
      </c>
      <c r="E179" s="65" t="s">
        <v>1251</v>
      </c>
      <c r="F179" s="65" t="s">
        <v>1252</v>
      </c>
      <c r="G179" s="65" t="s">
        <v>1253</v>
      </c>
      <c r="H179" s="65" t="s">
        <v>52</v>
      </c>
      <c r="I179" s="65" t="s">
        <v>726</v>
      </c>
    </row>
    <row r="180" spans="1:9" ht="30" x14ac:dyDescent="0.25">
      <c r="A180" s="64">
        <v>127</v>
      </c>
      <c r="B180" s="65" t="s">
        <v>1243</v>
      </c>
      <c r="C180" s="65" t="s">
        <v>1254</v>
      </c>
      <c r="D180" s="65" t="s">
        <v>1255</v>
      </c>
      <c r="E180" s="65" t="s">
        <v>1256</v>
      </c>
      <c r="F180" s="65" t="s">
        <v>1257</v>
      </c>
      <c r="G180" s="65" t="s">
        <v>1258</v>
      </c>
      <c r="H180" s="65" t="s">
        <v>52</v>
      </c>
      <c r="I180" s="65" t="s">
        <v>726</v>
      </c>
    </row>
    <row r="181" spans="1:9" ht="45" x14ac:dyDescent="0.25">
      <c r="A181" s="64">
        <v>128</v>
      </c>
      <c r="B181" s="65" t="s">
        <v>1243</v>
      </c>
      <c r="C181" s="65" t="s">
        <v>1259</v>
      </c>
      <c r="D181" s="65" t="s">
        <v>1260</v>
      </c>
      <c r="E181" s="65" t="s">
        <v>1260</v>
      </c>
      <c r="F181" s="65" t="s">
        <v>734</v>
      </c>
      <c r="G181" s="65" t="s">
        <v>1261</v>
      </c>
      <c r="H181" s="65" t="s">
        <v>52</v>
      </c>
      <c r="I181" s="65" t="s">
        <v>726</v>
      </c>
    </row>
    <row r="182" spans="1:9" ht="60" x14ac:dyDescent="0.25">
      <c r="A182" s="64">
        <v>129</v>
      </c>
      <c r="B182" s="65" t="s">
        <v>1243</v>
      </c>
      <c r="C182" s="65" t="s">
        <v>1262</v>
      </c>
      <c r="D182" s="65" t="s">
        <v>1263</v>
      </c>
      <c r="E182" s="65" t="s">
        <v>1264</v>
      </c>
      <c r="F182" s="65" t="s">
        <v>734</v>
      </c>
      <c r="G182" s="65" t="s">
        <v>1265</v>
      </c>
      <c r="H182" s="65" t="s">
        <v>52</v>
      </c>
      <c r="I182" s="65" t="s">
        <v>726</v>
      </c>
    </row>
    <row r="183" spans="1:9" ht="30" x14ac:dyDescent="0.25">
      <c r="A183" s="64">
        <v>130</v>
      </c>
      <c r="B183" s="65" t="s">
        <v>1243</v>
      </c>
      <c r="C183" s="65" t="s">
        <v>1266</v>
      </c>
      <c r="D183" s="65" t="s">
        <v>1267</v>
      </c>
      <c r="E183" s="65" t="s">
        <v>1267</v>
      </c>
      <c r="F183" s="65" t="s">
        <v>734</v>
      </c>
      <c r="G183" s="65" t="s">
        <v>1268</v>
      </c>
      <c r="H183" s="65" t="s">
        <v>52</v>
      </c>
      <c r="I183" s="65" t="s">
        <v>726</v>
      </c>
    </row>
    <row r="184" spans="1:9" ht="60" x14ac:dyDescent="0.25">
      <c r="A184" s="64">
        <v>131</v>
      </c>
      <c r="B184" s="65" t="s">
        <v>1243</v>
      </c>
      <c r="C184" s="65" t="s">
        <v>1269</v>
      </c>
      <c r="D184" s="65" t="s">
        <v>1270</v>
      </c>
      <c r="E184" s="65" t="s">
        <v>1271</v>
      </c>
      <c r="F184" s="65" t="s">
        <v>734</v>
      </c>
      <c r="G184" s="65" t="s">
        <v>1272</v>
      </c>
      <c r="H184" s="65" t="s">
        <v>52</v>
      </c>
      <c r="I184" s="65" t="s">
        <v>726</v>
      </c>
    </row>
    <row r="185" spans="1:9" ht="60" x14ac:dyDescent="0.25">
      <c r="A185" s="64">
        <v>132</v>
      </c>
      <c r="B185" s="65" t="s">
        <v>1243</v>
      </c>
      <c r="C185" s="65" t="s">
        <v>1273</v>
      </c>
      <c r="D185" s="65" t="s">
        <v>1274</v>
      </c>
      <c r="E185" s="65" t="s">
        <v>1274</v>
      </c>
      <c r="F185" s="65" t="s">
        <v>734</v>
      </c>
      <c r="G185" s="65" t="s">
        <v>1275</v>
      </c>
      <c r="H185" s="65" t="s">
        <v>52</v>
      </c>
      <c r="I185" s="65" t="s">
        <v>726</v>
      </c>
    </row>
    <row r="186" spans="1:9" ht="60" x14ac:dyDescent="0.25">
      <c r="A186" s="64">
        <v>133</v>
      </c>
      <c r="B186" s="65" t="s">
        <v>1243</v>
      </c>
      <c r="C186" s="65" t="s">
        <v>1276</v>
      </c>
      <c r="D186" s="65" t="s">
        <v>1277</v>
      </c>
      <c r="E186" s="65" t="s">
        <v>1278</v>
      </c>
      <c r="F186" s="65" t="s">
        <v>734</v>
      </c>
      <c r="G186" s="65" t="s">
        <v>1279</v>
      </c>
      <c r="H186" s="65" t="s">
        <v>52</v>
      </c>
      <c r="I186" s="65" t="s">
        <v>769</v>
      </c>
    </row>
    <row r="187" spans="1:9" ht="30" x14ac:dyDescent="0.25">
      <c r="A187" s="64">
        <v>134</v>
      </c>
      <c r="B187" s="65" t="s">
        <v>1243</v>
      </c>
      <c r="C187" s="65" t="s">
        <v>1280</v>
      </c>
      <c r="D187" s="65" t="s">
        <v>776</v>
      </c>
      <c r="E187" s="65" t="s">
        <v>1281</v>
      </c>
      <c r="F187" s="65" t="s">
        <v>1282</v>
      </c>
      <c r="G187" s="65" t="s">
        <v>1283</v>
      </c>
      <c r="H187" s="65" t="s">
        <v>52</v>
      </c>
      <c r="I187" s="65" t="s">
        <v>780</v>
      </c>
    </row>
    <row r="188" spans="1:9" ht="45" x14ac:dyDescent="0.25">
      <c r="A188" s="64">
        <v>135</v>
      </c>
      <c r="B188" s="65" t="s">
        <v>1243</v>
      </c>
      <c r="C188" s="65" t="s">
        <v>1284</v>
      </c>
      <c r="D188" s="65" t="s">
        <v>1285</v>
      </c>
      <c r="E188" s="65" t="s">
        <v>1285</v>
      </c>
      <c r="F188" s="65" t="s">
        <v>734</v>
      </c>
      <c r="G188" s="65" t="s">
        <v>1286</v>
      </c>
      <c r="H188" s="65" t="s">
        <v>52</v>
      </c>
      <c r="I188" s="65" t="s">
        <v>780</v>
      </c>
    </row>
    <row r="189" spans="1:9" ht="30" x14ac:dyDescent="0.25">
      <c r="A189" s="64">
        <v>136</v>
      </c>
      <c r="B189" s="65" t="s">
        <v>1287</v>
      </c>
      <c r="C189" s="65" t="s">
        <v>1288</v>
      </c>
      <c r="D189" s="65" t="s">
        <v>1289</v>
      </c>
      <c r="E189" s="65" t="s">
        <v>1290</v>
      </c>
      <c r="F189" s="65" t="s">
        <v>1291</v>
      </c>
      <c r="G189" s="65" t="s">
        <v>1292</v>
      </c>
      <c r="H189" s="65" t="s">
        <v>52</v>
      </c>
      <c r="I189" s="65" t="s">
        <v>769</v>
      </c>
    </row>
    <row r="190" spans="1:9" ht="30" x14ac:dyDescent="0.25">
      <c r="A190" s="64">
        <v>137</v>
      </c>
      <c r="B190" s="65" t="s">
        <v>1287</v>
      </c>
      <c r="C190" s="65" t="s">
        <v>1293</v>
      </c>
      <c r="D190" s="65" t="s">
        <v>1294</v>
      </c>
      <c r="E190" s="65" t="s">
        <v>1295</v>
      </c>
      <c r="F190" s="65" t="s">
        <v>1296</v>
      </c>
      <c r="G190" s="65" t="s">
        <v>1297</v>
      </c>
      <c r="H190" s="65" t="s">
        <v>52</v>
      </c>
      <c r="I190" s="65" t="s">
        <v>726</v>
      </c>
    </row>
    <row r="191" spans="1:9" ht="30" x14ac:dyDescent="0.25">
      <c r="A191" s="64">
        <v>138</v>
      </c>
      <c r="B191" s="65" t="s">
        <v>1287</v>
      </c>
      <c r="C191" s="65" t="s">
        <v>1298</v>
      </c>
      <c r="D191" s="65" t="s">
        <v>1299</v>
      </c>
      <c r="E191" s="65" t="s">
        <v>1300</v>
      </c>
      <c r="F191" s="65" t="s">
        <v>1301</v>
      </c>
      <c r="G191" s="65" t="s">
        <v>1302</v>
      </c>
      <c r="H191" s="65" t="s">
        <v>52</v>
      </c>
      <c r="I191" s="65" t="s">
        <v>769</v>
      </c>
    </row>
    <row r="192" spans="1:9" ht="45" x14ac:dyDescent="0.25">
      <c r="A192" s="64">
        <v>139</v>
      </c>
      <c r="B192" s="65" t="s">
        <v>1303</v>
      </c>
      <c r="C192" s="65" t="s">
        <v>1304</v>
      </c>
      <c r="D192" s="65" t="s">
        <v>1305</v>
      </c>
      <c r="E192" s="65" t="s">
        <v>1306</v>
      </c>
      <c r="F192" s="65" t="s">
        <v>1307</v>
      </c>
      <c r="G192" s="65" t="s">
        <v>1308</v>
      </c>
      <c r="H192" s="65" t="s">
        <v>52</v>
      </c>
      <c r="I192" s="65" t="s">
        <v>726</v>
      </c>
    </row>
    <row r="193" spans="1:9" ht="45" x14ac:dyDescent="0.25">
      <c r="A193" s="64">
        <v>140</v>
      </c>
      <c r="B193" s="65" t="s">
        <v>1303</v>
      </c>
      <c r="C193" s="65" t="s">
        <v>1309</v>
      </c>
      <c r="D193" s="65" t="s">
        <v>1310</v>
      </c>
      <c r="E193" s="65" t="s">
        <v>1311</v>
      </c>
      <c r="F193" s="65" t="s">
        <v>1312</v>
      </c>
      <c r="G193" s="65" t="s">
        <v>1313</v>
      </c>
      <c r="H193" s="65" t="s">
        <v>52</v>
      </c>
      <c r="I193" s="65" t="s">
        <v>769</v>
      </c>
    </row>
    <row r="194" spans="1:9" ht="45" x14ac:dyDescent="0.25">
      <c r="A194" s="64">
        <v>141</v>
      </c>
      <c r="B194" s="65" t="s">
        <v>1303</v>
      </c>
      <c r="C194" s="65" t="s">
        <v>1314</v>
      </c>
      <c r="D194" s="65" t="s">
        <v>1315</v>
      </c>
      <c r="E194" s="65" t="s">
        <v>1316</v>
      </c>
      <c r="F194" s="65" t="s">
        <v>1317</v>
      </c>
      <c r="G194" s="65" t="s">
        <v>1318</v>
      </c>
      <c r="H194" s="65" t="s">
        <v>52</v>
      </c>
      <c r="I194" s="65" t="s">
        <v>769</v>
      </c>
    </row>
    <row r="195" spans="1:9" ht="60" x14ac:dyDescent="0.25">
      <c r="A195" s="64">
        <v>142</v>
      </c>
      <c r="B195" s="65" t="s">
        <v>1303</v>
      </c>
      <c r="C195" s="65" t="s">
        <v>1319</v>
      </c>
      <c r="D195" s="65" t="s">
        <v>1320</v>
      </c>
      <c r="E195" s="65" t="s">
        <v>1321</v>
      </c>
      <c r="F195" s="65" t="s">
        <v>734</v>
      </c>
      <c r="G195" s="65" t="s">
        <v>1322</v>
      </c>
      <c r="H195" s="65" t="s">
        <v>52</v>
      </c>
      <c r="I195" s="65" t="s">
        <v>726</v>
      </c>
    </row>
    <row r="196" spans="1:9" ht="45" x14ac:dyDescent="0.25">
      <c r="A196" s="64">
        <v>143</v>
      </c>
      <c r="B196" s="65" t="s">
        <v>1323</v>
      </c>
      <c r="C196" s="65" t="s">
        <v>1324</v>
      </c>
      <c r="D196" s="65" t="s">
        <v>1325</v>
      </c>
      <c r="E196" s="65" t="s">
        <v>1326</v>
      </c>
      <c r="F196" s="65" t="s">
        <v>1327</v>
      </c>
      <c r="G196" s="65" t="s">
        <v>1328</v>
      </c>
      <c r="H196" s="65" t="s">
        <v>52</v>
      </c>
      <c r="I196" s="65" t="s">
        <v>726</v>
      </c>
    </row>
    <row r="197" spans="1:9" ht="45" x14ac:dyDescent="0.25">
      <c r="A197" s="64">
        <v>144</v>
      </c>
      <c r="B197" s="65" t="s">
        <v>1323</v>
      </c>
      <c r="C197" s="65" t="s">
        <v>1329</v>
      </c>
      <c r="D197" s="65" t="s">
        <v>1330</v>
      </c>
      <c r="E197" s="65" t="s">
        <v>1331</v>
      </c>
      <c r="F197" s="65" t="s">
        <v>1332</v>
      </c>
      <c r="G197" s="65" t="s">
        <v>1333</v>
      </c>
      <c r="H197" s="65" t="s">
        <v>52</v>
      </c>
      <c r="I197" s="65" t="s">
        <v>769</v>
      </c>
    </row>
    <row r="198" spans="1:9" ht="45" x14ac:dyDescent="0.25">
      <c r="A198" s="64">
        <v>145</v>
      </c>
      <c r="B198" s="65" t="s">
        <v>1323</v>
      </c>
      <c r="C198" s="65" t="s">
        <v>1334</v>
      </c>
      <c r="D198" s="65" t="s">
        <v>1335</v>
      </c>
      <c r="E198" s="65" t="s">
        <v>1335</v>
      </c>
      <c r="F198" s="65" t="s">
        <v>734</v>
      </c>
      <c r="G198" s="65" t="s">
        <v>1336</v>
      </c>
      <c r="H198" s="65" t="s">
        <v>52</v>
      </c>
      <c r="I198" s="65" t="s">
        <v>726</v>
      </c>
    </row>
    <row r="199" spans="1:9" ht="30" x14ac:dyDescent="0.25">
      <c r="A199" s="64">
        <v>146</v>
      </c>
      <c r="B199" s="65" t="s">
        <v>1323</v>
      </c>
      <c r="C199" s="65" t="s">
        <v>1337</v>
      </c>
      <c r="D199" s="65" t="s">
        <v>1338</v>
      </c>
      <c r="E199" s="65" t="s">
        <v>1339</v>
      </c>
      <c r="F199" s="65" t="s">
        <v>1340</v>
      </c>
      <c r="G199" s="65" t="s">
        <v>1341</v>
      </c>
      <c r="H199" s="65" t="s">
        <v>52</v>
      </c>
      <c r="I199" s="65" t="s">
        <v>769</v>
      </c>
    </row>
    <row r="200" spans="1:9" ht="45" x14ac:dyDescent="0.25">
      <c r="A200" s="64">
        <v>147</v>
      </c>
      <c r="B200" s="65" t="s">
        <v>1323</v>
      </c>
      <c r="C200" s="65" t="s">
        <v>1342</v>
      </c>
      <c r="D200" s="65" t="s">
        <v>1343</v>
      </c>
      <c r="E200" s="65" t="s">
        <v>1344</v>
      </c>
      <c r="F200" s="65" t="s">
        <v>1345</v>
      </c>
      <c r="G200" s="65" t="s">
        <v>1346</v>
      </c>
      <c r="H200" s="65" t="s">
        <v>52</v>
      </c>
      <c r="I200" s="65" t="s">
        <v>726</v>
      </c>
    </row>
    <row r="201" spans="1:9" ht="30" x14ac:dyDescent="0.25">
      <c r="A201" s="64">
        <v>148</v>
      </c>
      <c r="B201" s="65" t="s">
        <v>1323</v>
      </c>
      <c r="C201" s="65" t="s">
        <v>1347</v>
      </c>
      <c r="D201" s="65" t="s">
        <v>1348</v>
      </c>
      <c r="E201" s="65" t="s">
        <v>1348</v>
      </c>
      <c r="F201" s="65" t="s">
        <v>734</v>
      </c>
      <c r="G201" s="65" t="s">
        <v>1349</v>
      </c>
      <c r="H201" s="65" t="s">
        <v>52</v>
      </c>
      <c r="I201" s="65" t="s">
        <v>726</v>
      </c>
    </row>
    <row r="202" spans="1:9" ht="45" x14ac:dyDescent="0.25">
      <c r="A202" s="64">
        <v>149</v>
      </c>
      <c r="B202" s="65" t="s">
        <v>1350</v>
      </c>
      <c r="C202" s="65" t="s">
        <v>1351</v>
      </c>
      <c r="D202" s="65" t="s">
        <v>1352</v>
      </c>
      <c r="E202" s="65" t="s">
        <v>1353</v>
      </c>
      <c r="F202" s="65" t="s">
        <v>1354</v>
      </c>
      <c r="G202" s="65" t="s">
        <v>1355</v>
      </c>
      <c r="H202" s="65" t="s">
        <v>52</v>
      </c>
      <c r="I202" s="65" t="s">
        <v>726</v>
      </c>
    </row>
    <row r="203" spans="1:9" ht="45" x14ac:dyDescent="0.25">
      <c r="A203" s="64">
        <v>150</v>
      </c>
      <c r="B203" s="65" t="s">
        <v>1350</v>
      </c>
      <c r="C203" s="65" t="s">
        <v>1356</v>
      </c>
      <c r="D203" s="65" t="s">
        <v>1357</v>
      </c>
      <c r="E203" s="65" t="s">
        <v>1357</v>
      </c>
      <c r="F203" s="65" t="s">
        <v>734</v>
      </c>
      <c r="G203" s="65" t="s">
        <v>1358</v>
      </c>
      <c r="H203" s="65" t="s">
        <v>52</v>
      </c>
      <c r="I203" s="65" t="s">
        <v>726</v>
      </c>
    </row>
    <row r="204" spans="1:9" ht="30" x14ac:dyDescent="0.25">
      <c r="A204" s="64">
        <v>151</v>
      </c>
      <c r="B204" s="65" t="s">
        <v>1350</v>
      </c>
      <c r="C204" s="65" t="s">
        <v>1359</v>
      </c>
      <c r="D204" s="65" t="s">
        <v>1360</v>
      </c>
      <c r="E204" s="65" t="s">
        <v>1361</v>
      </c>
      <c r="F204" s="65" t="s">
        <v>1362</v>
      </c>
      <c r="G204" s="65" t="s">
        <v>1363</v>
      </c>
      <c r="H204" s="65" t="s">
        <v>52</v>
      </c>
      <c r="I204" s="65" t="s">
        <v>769</v>
      </c>
    </row>
    <row r="205" spans="1:9" ht="30" x14ac:dyDescent="0.25">
      <c r="A205" s="64">
        <v>152</v>
      </c>
      <c r="B205" s="65" t="s">
        <v>1350</v>
      </c>
      <c r="C205" s="65" t="s">
        <v>1364</v>
      </c>
      <c r="D205" s="65" t="s">
        <v>1365</v>
      </c>
      <c r="E205" s="65" t="s">
        <v>1366</v>
      </c>
      <c r="F205" s="65" t="s">
        <v>1367</v>
      </c>
      <c r="G205" s="65" t="s">
        <v>1368</v>
      </c>
      <c r="H205" s="65" t="s">
        <v>52</v>
      </c>
      <c r="I205" s="65" t="s">
        <v>769</v>
      </c>
    </row>
    <row r="206" spans="1:9" ht="30" x14ac:dyDescent="0.25">
      <c r="A206" s="64">
        <v>153</v>
      </c>
      <c r="B206" s="65" t="s">
        <v>1350</v>
      </c>
      <c r="C206" s="65" t="s">
        <v>1369</v>
      </c>
      <c r="D206" s="65" t="s">
        <v>1370</v>
      </c>
      <c r="E206" s="65" t="s">
        <v>1371</v>
      </c>
      <c r="F206" s="65" t="s">
        <v>1372</v>
      </c>
      <c r="G206" s="65" t="s">
        <v>1373</v>
      </c>
      <c r="H206" s="65" t="s">
        <v>52</v>
      </c>
      <c r="I206" s="65" t="s">
        <v>769</v>
      </c>
    </row>
    <row r="207" spans="1:9" ht="30" x14ac:dyDescent="0.25">
      <c r="A207" s="64">
        <v>154</v>
      </c>
      <c r="B207" s="65" t="s">
        <v>1350</v>
      </c>
      <c r="C207" s="65" t="s">
        <v>1374</v>
      </c>
      <c r="D207" s="65" t="s">
        <v>1375</v>
      </c>
      <c r="E207" s="65" t="s">
        <v>1376</v>
      </c>
      <c r="F207" s="65" t="s">
        <v>1377</v>
      </c>
      <c r="G207" s="65" t="s">
        <v>1378</v>
      </c>
      <c r="H207" s="65" t="s">
        <v>52</v>
      </c>
      <c r="I207" s="65" t="s">
        <v>769</v>
      </c>
    </row>
    <row r="208" spans="1:9" ht="30" x14ac:dyDescent="0.25">
      <c r="A208" s="64">
        <v>155</v>
      </c>
      <c r="B208" s="65" t="s">
        <v>1350</v>
      </c>
      <c r="C208" s="65" t="s">
        <v>1379</v>
      </c>
      <c r="D208" s="65" t="s">
        <v>1380</v>
      </c>
      <c r="E208" s="65" t="s">
        <v>1381</v>
      </c>
      <c r="F208" s="65" t="s">
        <v>1382</v>
      </c>
      <c r="G208" s="65" t="s">
        <v>1383</v>
      </c>
      <c r="H208" s="65" t="s">
        <v>52</v>
      </c>
      <c r="I208" s="65" t="s">
        <v>769</v>
      </c>
    </row>
    <row r="209" spans="1:9" ht="30" x14ac:dyDescent="0.25">
      <c r="A209" s="64">
        <v>156</v>
      </c>
      <c r="B209" s="65" t="s">
        <v>1350</v>
      </c>
      <c r="C209" s="65" t="s">
        <v>1384</v>
      </c>
      <c r="D209" s="65" t="s">
        <v>1200</v>
      </c>
      <c r="E209" s="65" t="s">
        <v>1385</v>
      </c>
      <c r="F209" s="65" t="s">
        <v>1386</v>
      </c>
      <c r="G209" s="65" t="s">
        <v>1387</v>
      </c>
      <c r="H209" s="65" t="s">
        <v>52</v>
      </c>
      <c r="I209" s="65" t="s">
        <v>780</v>
      </c>
    </row>
    <row r="210" spans="1:9" ht="30" x14ac:dyDescent="0.25">
      <c r="A210" s="64">
        <v>157</v>
      </c>
      <c r="B210" s="65" t="s">
        <v>1350</v>
      </c>
      <c r="C210" s="65" t="s">
        <v>1388</v>
      </c>
      <c r="D210" s="65" t="s">
        <v>1389</v>
      </c>
      <c r="E210" s="65" t="s">
        <v>1390</v>
      </c>
      <c r="F210" s="65" t="s">
        <v>1391</v>
      </c>
      <c r="G210" s="65" t="s">
        <v>1392</v>
      </c>
      <c r="H210" s="65" t="s">
        <v>52</v>
      </c>
      <c r="I210" s="65" t="s">
        <v>726</v>
      </c>
    </row>
    <row r="211" spans="1:9" ht="60" x14ac:dyDescent="0.25">
      <c r="A211" s="64">
        <v>158</v>
      </c>
      <c r="B211" s="65" t="s">
        <v>1350</v>
      </c>
      <c r="C211" s="65" t="s">
        <v>1393</v>
      </c>
      <c r="D211" s="65" t="s">
        <v>1394</v>
      </c>
      <c r="E211" s="65" t="s">
        <v>1395</v>
      </c>
      <c r="F211" s="65" t="s">
        <v>734</v>
      </c>
      <c r="G211" s="65" t="s">
        <v>1396</v>
      </c>
      <c r="H211" s="65" t="s">
        <v>52</v>
      </c>
      <c r="I211" s="65" t="s">
        <v>726</v>
      </c>
    </row>
    <row r="212" spans="1:9" ht="45" x14ac:dyDescent="0.25">
      <c r="A212" s="64">
        <v>159</v>
      </c>
      <c r="B212" s="65" t="s">
        <v>1350</v>
      </c>
      <c r="C212" s="65" t="s">
        <v>1397</v>
      </c>
      <c r="D212" s="65" t="s">
        <v>1398</v>
      </c>
      <c r="E212" s="65" t="s">
        <v>1398</v>
      </c>
      <c r="F212" s="65" t="s">
        <v>734</v>
      </c>
      <c r="G212" s="65" t="s">
        <v>1399</v>
      </c>
      <c r="H212" s="65" t="s">
        <v>52</v>
      </c>
      <c r="I212" s="65" t="s">
        <v>769</v>
      </c>
    </row>
    <row r="213" spans="1:9" ht="45" x14ac:dyDescent="0.25">
      <c r="A213" s="64">
        <v>160</v>
      </c>
      <c r="B213" s="65" t="s">
        <v>1350</v>
      </c>
      <c r="C213" s="65" t="s">
        <v>1400</v>
      </c>
      <c r="D213" s="65" t="s">
        <v>1401</v>
      </c>
      <c r="E213" s="65" t="s">
        <v>1401</v>
      </c>
      <c r="F213" s="65" t="s">
        <v>734</v>
      </c>
      <c r="G213" s="65" t="s">
        <v>1402</v>
      </c>
      <c r="H213" s="65" t="s">
        <v>52</v>
      </c>
      <c r="I213" s="65" t="s">
        <v>769</v>
      </c>
    </row>
    <row r="214" spans="1:9" ht="45" x14ac:dyDescent="0.25">
      <c r="A214" s="64">
        <v>161</v>
      </c>
      <c r="B214" s="65" t="s">
        <v>1350</v>
      </c>
      <c r="C214" s="65" t="s">
        <v>1403</v>
      </c>
      <c r="D214" s="65" t="s">
        <v>1404</v>
      </c>
      <c r="E214" s="65" t="s">
        <v>1405</v>
      </c>
      <c r="F214" s="65" t="s">
        <v>1406</v>
      </c>
      <c r="G214" s="65" t="s">
        <v>1407</v>
      </c>
      <c r="H214" s="65" t="s">
        <v>52</v>
      </c>
      <c r="I214" s="65" t="s">
        <v>780</v>
      </c>
    </row>
    <row r="215" spans="1:9" ht="45" x14ac:dyDescent="0.25">
      <c r="A215" s="64">
        <v>162</v>
      </c>
      <c r="B215" s="65" t="s">
        <v>1350</v>
      </c>
      <c r="C215" s="65" t="s">
        <v>1408</v>
      </c>
      <c r="D215" s="65" t="s">
        <v>1409</v>
      </c>
      <c r="E215" s="65" t="s">
        <v>1410</v>
      </c>
      <c r="F215" s="65" t="s">
        <v>1411</v>
      </c>
      <c r="G215" s="65" t="s">
        <v>1412</v>
      </c>
      <c r="H215" s="65" t="s">
        <v>52</v>
      </c>
      <c r="I215" s="65" t="s">
        <v>769</v>
      </c>
    </row>
    <row r="216" spans="1:9" ht="60" x14ac:dyDescent="0.25">
      <c r="A216" s="64">
        <v>163</v>
      </c>
      <c r="B216" s="65" t="s">
        <v>1350</v>
      </c>
      <c r="C216" s="65" t="s">
        <v>1413</v>
      </c>
      <c r="D216" s="65" t="s">
        <v>1414</v>
      </c>
      <c r="E216" s="65" t="s">
        <v>1415</v>
      </c>
      <c r="F216" s="65" t="s">
        <v>734</v>
      </c>
      <c r="G216" s="65" t="s">
        <v>1416</v>
      </c>
      <c r="H216" s="65" t="s">
        <v>52</v>
      </c>
      <c r="I216" s="65" t="s">
        <v>769</v>
      </c>
    </row>
    <row r="217" spans="1:9" ht="45" x14ac:dyDescent="0.25">
      <c r="A217" s="64">
        <v>164</v>
      </c>
      <c r="B217" s="65" t="s">
        <v>1350</v>
      </c>
      <c r="C217" s="65" t="s">
        <v>1417</v>
      </c>
      <c r="D217" s="65" t="s">
        <v>1418</v>
      </c>
      <c r="E217" s="65" t="s">
        <v>1418</v>
      </c>
      <c r="F217" s="65" t="s">
        <v>734</v>
      </c>
      <c r="G217" s="65" t="s">
        <v>1419</v>
      </c>
      <c r="H217" s="65" t="s">
        <v>52</v>
      </c>
      <c r="I217" s="65" t="s">
        <v>769</v>
      </c>
    </row>
    <row r="218" spans="1:9" ht="60" x14ac:dyDescent="0.25">
      <c r="A218" s="64">
        <v>165</v>
      </c>
      <c r="B218" s="65" t="s">
        <v>1350</v>
      </c>
      <c r="C218" s="65" t="s">
        <v>1420</v>
      </c>
      <c r="D218" s="65" t="s">
        <v>1421</v>
      </c>
      <c r="E218" s="65" t="s">
        <v>1422</v>
      </c>
      <c r="F218" s="65" t="s">
        <v>734</v>
      </c>
      <c r="G218" s="65" t="s">
        <v>1423</v>
      </c>
      <c r="H218" s="65" t="s">
        <v>52</v>
      </c>
      <c r="I218" s="65" t="s">
        <v>726</v>
      </c>
    </row>
    <row r="219" spans="1:9" ht="60" x14ac:dyDescent="0.25">
      <c r="A219" s="64">
        <v>166</v>
      </c>
      <c r="B219" s="65" t="s">
        <v>1350</v>
      </c>
      <c r="C219" s="65" t="s">
        <v>1424</v>
      </c>
      <c r="D219" s="65" t="s">
        <v>1425</v>
      </c>
      <c r="E219" s="65" t="s">
        <v>1426</v>
      </c>
      <c r="F219" s="65" t="s">
        <v>734</v>
      </c>
      <c r="G219" s="65" t="s">
        <v>1427</v>
      </c>
      <c r="H219" s="65" t="s">
        <v>52</v>
      </c>
      <c r="I219" s="65" t="s">
        <v>726</v>
      </c>
    </row>
    <row r="220" spans="1:9" ht="45" x14ac:dyDescent="0.25">
      <c r="A220" s="64">
        <v>167</v>
      </c>
      <c r="B220" s="65" t="s">
        <v>1428</v>
      </c>
      <c r="C220" s="65" t="s">
        <v>1429</v>
      </c>
      <c r="D220" s="65" t="s">
        <v>1430</v>
      </c>
      <c r="E220" s="65" t="s">
        <v>1431</v>
      </c>
      <c r="F220" s="65" t="s">
        <v>1432</v>
      </c>
      <c r="G220" s="65" t="s">
        <v>1433</v>
      </c>
      <c r="H220" s="65" t="s">
        <v>52</v>
      </c>
      <c r="I220" s="65" t="s">
        <v>726</v>
      </c>
    </row>
    <row r="221" spans="1:9" ht="45" x14ac:dyDescent="0.25">
      <c r="A221" s="64">
        <v>168</v>
      </c>
      <c r="B221" s="65" t="s">
        <v>1428</v>
      </c>
      <c r="C221" s="65" t="s">
        <v>1434</v>
      </c>
      <c r="D221" s="65" t="s">
        <v>1435</v>
      </c>
      <c r="E221" s="65" t="s">
        <v>1435</v>
      </c>
      <c r="F221" s="65" t="s">
        <v>734</v>
      </c>
      <c r="G221" s="65" t="s">
        <v>1436</v>
      </c>
      <c r="H221" s="65" t="s">
        <v>52</v>
      </c>
      <c r="I221" s="65" t="s">
        <v>769</v>
      </c>
    </row>
    <row r="222" spans="1:9" ht="30" x14ac:dyDescent="0.25">
      <c r="A222" s="64">
        <v>169</v>
      </c>
      <c r="B222" s="65" t="s">
        <v>1428</v>
      </c>
      <c r="C222" s="65" t="s">
        <v>1437</v>
      </c>
      <c r="D222" s="65" t="s">
        <v>1438</v>
      </c>
      <c r="E222" s="65" t="s">
        <v>1439</v>
      </c>
      <c r="F222" s="65" t="s">
        <v>1440</v>
      </c>
      <c r="G222" s="65" t="s">
        <v>1441</v>
      </c>
      <c r="H222" s="65" t="s">
        <v>52</v>
      </c>
      <c r="I222" s="65" t="s">
        <v>769</v>
      </c>
    </row>
    <row r="223" spans="1:9" ht="30" x14ac:dyDescent="0.25">
      <c r="A223" s="64">
        <v>170</v>
      </c>
      <c r="B223" s="65" t="s">
        <v>1428</v>
      </c>
      <c r="C223" s="65" t="s">
        <v>1442</v>
      </c>
      <c r="D223" s="65" t="s">
        <v>1443</v>
      </c>
      <c r="E223" s="65" t="s">
        <v>1444</v>
      </c>
      <c r="F223" s="65" t="s">
        <v>1445</v>
      </c>
      <c r="G223" s="65" t="s">
        <v>1446</v>
      </c>
      <c r="H223" s="65" t="s">
        <v>52</v>
      </c>
      <c r="I223" s="65" t="s">
        <v>780</v>
      </c>
    </row>
    <row r="224" spans="1:9" ht="30" x14ac:dyDescent="0.25">
      <c r="A224" s="64">
        <v>171</v>
      </c>
      <c r="B224" s="65" t="s">
        <v>1428</v>
      </c>
      <c r="C224" s="65" t="s">
        <v>1447</v>
      </c>
      <c r="D224" s="65" t="s">
        <v>1448</v>
      </c>
      <c r="E224" s="65" t="s">
        <v>1448</v>
      </c>
      <c r="F224" s="65" t="s">
        <v>734</v>
      </c>
      <c r="G224" s="65" t="s">
        <v>1449</v>
      </c>
      <c r="H224" s="65" t="s">
        <v>52</v>
      </c>
      <c r="I224" s="65" t="s">
        <v>726</v>
      </c>
    </row>
    <row r="225" spans="1:9" ht="30" x14ac:dyDescent="0.25">
      <c r="A225" s="64">
        <v>172</v>
      </c>
      <c r="B225" s="65" t="s">
        <v>1450</v>
      </c>
      <c r="C225" s="65" t="s">
        <v>1451</v>
      </c>
      <c r="D225" s="65" t="s">
        <v>1452</v>
      </c>
      <c r="E225" s="65" t="s">
        <v>1453</v>
      </c>
      <c r="F225" s="65" t="s">
        <v>1454</v>
      </c>
      <c r="G225" s="65" t="s">
        <v>1455</v>
      </c>
      <c r="H225" s="65" t="s">
        <v>52</v>
      </c>
      <c r="I225" s="65" t="s">
        <v>726</v>
      </c>
    </row>
    <row r="226" spans="1:9" ht="30" x14ac:dyDescent="0.25">
      <c r="A226" s="64">
        <v>173</v>
      </c>
      <c r="B226" s="65" t="s">
        <v>1450</v>
      </c>
      <c r="C226" s="65" t="s">
        <v>1456</v>
      </c>
      <c r="D226" s="65" t="s">
        <v>1457</v>
      </c>
      <c r="E226" s="65" t="s">
        <v>1458</v>
      </c>
      <c r="F226" s="65" t="s">
        <v>1459</v>
      </c>
      <c r="G226" s="65" t="s">
        <v>1460</v>
      </c>
      <c r="H226" s="65" t="s">
        <v>52</v>
      </c>
      <c r="I226" s="65" t="s">
        <v>726</v>
      </c>
    </row>
    <row r="227" spans="1:9" ht="60" x14ac:dyDescent="0.25">
      <c r="A227" s="64">
        <v>174</v>
      </c>
      <c r="B227" s="65" t="s">
        <v>1450</v>
      </c>
      <c r="C227" s="65" t="s">
        <v>1461</v>
      </c>
      <c r="D227" s="65" t="s">
        <v>1462</v>
      </c>
      <c r="E227" s="65" t="s">
        <v>1463</v>
      </c>
      <c r="F227" s="65" t="s">
        <v>734</v>
      </c>
      <c r="G227" s="65" t="s">
        <v>1464</v>
      </c>
      <c r="H227" s="65" t="s">
        <v>52</v>
      </c>
      <c r="I227" s="65" t="s">
        <v>769</v>
      </c>
    </row>
    <row r="228" spans="1:9" ht="30" x14ac:dyDescent="0.25">
      <c r="A228" s="64">
        <v>175</v>
      </c>
      <c r="B228" s="65" t="s">
        <v>1450</v>
      </c>
      <c r="C228" s="65" t="s">
        <v>1465</v>
      </c>
      <c r="D228" s="65" t="s">
        <v>1466</v>
      </c>
      <c r="E228" s="65" t="s">
        <v>1467</v>
      </c>
      <c r="F228" s="65" t="s">
        <v>1468</v>
      </c>
      <c r="G228" s="65" t="s">
        <v>1469</v>
      </c>
      <c r="H228" s="65" t="s">
        <v>52</v>
      </c>
      <c r="I228" s="65" t="s">
        <v>769</v>
      </c>
    </row>
    <row r="229" spans="1:9" ht="60" x14ac:dyDescent="0.25">
      <c r="A229" s="64">
        <v>176</v>
      </c>
      <c r="B229" s="65" t="s">
        <v>1450</v>
      </c>
      <c r="C229" s="65" t="s">
        <v>1470</v>
      </c>
      <c r="D229" s="65" t="s">
        <v>1471</v>
      </c>
      <c r="E229" s="65" t="s">
        <v>1471</v>
      </c>
      <c r="F229" s="65" t="s">
        <v>734</v>
      </c>
      <c r="G229" s="65" t="s">
        <v>1472</v>
      </c>
      <c r="H229" s="65" t="s">
        <v>52</v>
      </c>
      <c r="I229" s="65" t="s">
        <v>769</v>
      </c>
    </row>
    <row r="230" spans="1:9" ht="60" x14ac:dyDescent="0.25">
      <c r="A230" s="64">
        <v>177</v>
      </c>
      <c r="B230" s="65" t="s">
        <v>1450</v>
      </c>
      <c r="C230" s="65" t="s">
        <v>1473</v>
      </c>
      <c r="D230" s="65" t="s">
        <v>1474</v>
      </c>
      <c r="E230" s="65" t="s">
        <v>1474</v>
      </c>
      <c r="F230" s="65" t="s">
        <v>734</v>
      </c>
      <c r="G230" s="65" t="s">
        <v>1475</v>
      </c>
      <c r="H230" s="65" t="s">
        <v>52</v>
      </c>
      <c r="I230" s="65" t="s">
        <v>726</v>
      </c>
    </row>
    <row r="231" spans="1:9" ht="60" x14ac:dyDescent="0.25">
      <c r="A231" s="64">
        <v>178</v>
      </c>
      <c r="B231" s="65" t="s">
        <v>1450</v>
      </c>
      <c r="C231" s="65" t="s">
        <v>1476</v>
      </c>
      <c r="D231" s="65" t="s">
        <v>1477</v>
      </c>
      <c r="E231" s="65" t="s">
        <v>1478</v>
      </c>
      <c r="F231" s="65" t="s">
        <v>1479</v>
      </c>
      <c r="G231" s="65" t="s">
        <v>1480</v>
      </c>
      <c r="H231" s="65" t="s">
        <v>52</v>
      </c>
      <c r="I231" s="65" t="s">
        <v>726</v>
      </c>
    </row>
    <row r="232" spans="1:9" ht="45" x14ac:dyDescent="0.25">
      <c r="A232" s="64">
        <v>179</v>
      </c>
      <c r="B232" s="65" t="s">
        <v>1450</v>
      </c>
      <c r="C232" s="65" t="s">
        <v>1481</v>
      </c>
      <c r="D232" s="65" t="s">
        <v>1482</v>
      </c>
      <c r="E232" s="65" t="s">
        <v>1482</v>
      </c>
      <c r="F232" s="65" t="s">
        <v>734</v>
      </c>
      <c r="G232" s="65" t="s">
        <v>1483</v>
      </c>
      <c r="H232" s="65" t="s">
        <v>52</v>
      </c>
      <c r="I232" s="65" t="s">
        <v>769</v>
      </c>
    </row>
    <row r="233" spans="1:9" ht="30" x14ac:dyDescent="0.25">
      <c r="A233" s="64">
        <v>180</v>
      </c>
      <c r="B233" s="65" t="s">
        <v>1450</v>
      </c>
      <c r="C233" s="65" t="s">
        <v>1484</v>
      </c>
      <c r="D233" s="65" t="s">
        <v>1485</v>
      </c>
      <c r="E233" s="65" t="s">
        <v>1485</v>
      </c>
      <c r="F233" s="65" t="s">
        <v>734</v>
      </c>
      <c r="G233" s="65" t="s">
        <v>1486</v>
      </c>
      <c r="H233" s="65" t="s">
        <v>52</v>
      </c>
      <c r="I233" s="65" t="s">
        <v>726</v>
      </c>
    </row>
    <row r="234" spans="1:9" ht="30" x14ac:dyDescent="0.25">
      <c r="A234" s="64">
        <v>181</v>
      </c>
      <c r="B234" s="65" t="s">
        <v>1450</v>
      </c>
      <c r="C234" s="65" t="s">
        <v>1487</v>
      </c>
      <c r="D234" s="65" t="s">
        <v>1488</v>
      </c>
      <c r="E234" s="65" t="s">
        <v>1489</v>
      </c>
      <c r="F234" s="65" t="s">
        <v>1490</v>
      </c>
      <c r="G234" s="65" t="s">
        <v>1491</v>
      </c>
      <c r="H234" s="65" t="s">
        <v>52</v>
      </c>
      <c r="I234" s="65" t="s">
        <v>780</v>
      </c>
    </row>
    <row r="235" spans="1:9" ht="45" x14ac:dyDescent="0.25">
      <c r="A235" s="64">
        <v>182</v>
      </c>
      <c r="B235" s="65" t="s">
        <v>1450</v>
      </c>
      <c r="C235" s="65" t="s">
        <v>1492</v>
      </c>
      <c r="D235" s="65" t="s">
        <v>1493</v>
      </c>
      <c r="E235" s="65" t="s">
        <v>1493</v>
      </c>
      <c r="F235" s="65" t="s">
        <v>734</v>
      </c>
      <c r="G235" s="65" t="s">
        <v>1494</v>
      </c>
      <c r="H235" s="65" t="s">
        <v>52</v>
      </c>
      <c r="I235" s="65" t="s">
        <v>726</v>
      </c>
    </row>
    <row r="236" spans="1:9" ht="45" x14ac:dyDescent="0.25">
      <c r="A236" s="64">
        <v>183</v>
      </c>
      <c r="B236" s="65" t="s">
        <v>1450</v>
      </c>
      <c r="C236" s="65" t="s">
        <v>1495</v>
      </c>
      <c r="D236" s="65" t="s">
        <v>1496</v>
      </c>
      <c r="E236" s="65" t="s">
        <v>1496</v>
      </c>
      <c r="F236" s="65" t="s">
        <v>734</v>
      </c>
      <c r="G236" s="65" t="s">
        <v>1497</v>
      </c>
      <c r="H236" s="65" t="s">
        <v>52</v>
      </c>
      <c r="I236" s="65" t="s">
        <v>769</v>
      </c>
    </row>
    <row r="237" spans="1:9" ht="45" x14ac:dyDescent="0.25">
      <c r="A237" s="64">
        <v>184</v>
      </c>
      <c r="B237" s="65" t="s">
        <v>1498</v>
      </c>
      <c r="C237" s="65" t="s">
        <v>1499</v>
      </c>
      <c r="D237" s="65" t="s">
        <v>1500</v>
      </c>
      <c r="E237" s="65" t="s">
        <v>1501</v>
      </c>
      <c r="F237" s="65" t="s">
        <v>1502</v>
      </c>
      <c r="G237" s="65" t="s">
        <v>1503</v>
      </c>
      <c r="H237" s="65" t="s">
        <v>52</v>
      </c>
      <c r="I237" s="65" t="s">
        <v>726</v>
      </c>
    </row>
    <row r="238" spans="1:9" ht="60" x14ac:dyDescent="0.25">
      <c r="A238" s="64">
        <v>185</v>
      </c>
      <c r="B238" s="65" t="s">
        <v>1498</v>
      </c>
      <c r="C238" s="65" t="s">
        <v>1504</v>
      </c>
      <c r="D238" s="65" t="s">
        <v>1505</v>
      </c>
      <c r="E238" s="65" t="s">
        <v>1505</v>
      </c>
      <c r="F238" s="65" t="s">
        <v>734</v>
      </c>
      <c r="G238" s="65" t="s">
        <v>1506</v>
      </c>
      <c r="H238" s="65" t="s">
        <v>52</v>
      </c>
      <c r="I238" s="65" t="s">
        <v>726</v>
      </c>
    </row>
    <row r="239" spans="1:9" ht="30" x14ac:dyDescent="0.25">
      <c r="A239" s="64">
        <v>186</v>
      </c>
      <c r="B239" s="65" t="s">
        <v>1498</v>
      </c>
      <c r="C239" s="65" t="s">
        <v>1507</v>
      </c>
      <c r="D239" s="65" t="s">
        <v>1508</v>
      </c>
      <c r="E239" s="65" t="s">
        <v>1509</v>
      </c>
      <c r="F239" s="65" t="s">
        <v>1510</v>
      </c>
      <c r="G239" s="65" t="s">
        <v>1511</v>
      </c>
      <c r="H239" s="65" t="s">
        <v>52</v>
      </c>
      <c r="I239" s="65" t="s">
        <v>726</v>
      </c>
    </row>
    <row r="240" spans="1:9" ht="30" x14ac:dyDescent="0.25">
      <c r="A240" s="64">
        <v>187</v>
      </c>
      <c r="B240" s="65" t="s">
        <v>1498</v>
      </c>
      <c r="C240" s="65" t="s">
        <v>1512</v>
      </c>
      <c r="D240" s="65" t="s">
        <v>1513</v>
      </c>
      <c r="E240" s="65" t="s">
        <v>1514</v>
      </c>
      <c r="F240" s="65" t="s">
        <v>1515</v>
      </c>
      <c r="G240" s="65" t="s">
        <v>1516</v>
      </c>
      <c r="H240" s="65" t="s">
        <v>52</v>
      </c>
      <c r="I240" s="65" t="s">
        <v>769</v>
      </c>
    </row>
    <row r="241" spans="1:9" ht="30" x14ac:dyDescent="0.25">
      <c r="A241" s="64">
        <v>188</v>
      </c>
      <c r="B241" s="65" t="s">
        <v>1498</v>
      </c>
      <c r="C241" s="65" t="s">
        <v>1517</v>
      </c>
      <c r="D241" s="65" t="s">
        <v>1518</v>
      </c>
      <c r="E241" s="65" t="s">
        <v>1519</v>
      </c>
      <c r="F241" s="65" t="s">
        <v>1520</v>
      </c>
      <c r="G241" s="65" t="s">
        <v>1521</v>
      </c>
      <c r="H241" s="65" t="s">
        <v>52</v>
      </c>
      <c r="I241" s="65" t="s">
        <v>769</v>
      </c>
    </row>
    <row r="242" spans="1:9" ht="30" x14ac:dyDescent="0.25">
      <c r="A242" s="64">
        <v>189</v>
      </c>
      <c r="B242" s="65" t="s">
        <v>1498</v>
      </c>
      <c r="C242" s="65" t="s">
        <v>1522</v>
      </c>
      <c r="D242" s="65" t="s">
        <v>1523</v>
      </c>
      <c r="E242" s="65" t="s">
        <v>1524</v>
      </c>
      <c r="F242" s="65" t="s">
        <v>1525</v>
      </c>
      <c r="G242" s="65" t="s">
        <v>1526</v>
      </c>
      <c r="H242" s="65" t="s">
        <v>52</v>
      </c>
      <c r="I242" s="65" t="s">
        <v>769</v>
      </c>
    </row>
    <row r="243" spans="1:9" ht="30" x14ac:dyDescent="0.25">
      <c r="A243" s="64">
        <v>190</v>
      </c>
      <c r="B243" s="65" t="s">
        <v>1498</v>
      </c>
      <c r="C243" s="65" t="s">
        <v>1527</v>
      </c>
      <c r="D243" s="65" t="s">
        <v>1528</v>
      </c>
      <c r="E243" s="65" t="s">
        <v>1529</v>
      </c>
      <c r="F243" s="65" t="s">
        <v>1530</v>
      </c>
      <c r="G243" s="65" t="s">
        <v>1531</v>
      </c>
      <c r="H243" s="65" t="s">
        <v>52</v>
      </c>
      <c r="I243" s="65" t="s">
        <v>769</v>
      </c>
    </row>
    <row r="244" spans="1:9" ht="30" x14ac:dyDescent="0.25">
      <c r="A244" s="64">
        <v>191</v>
      </c>
      <c r="B244" s="65" t="s">
        <v>1498</v>
      </c>
      <c r="C244" s="65" t="s">
        <v>1532</v>
      </c>
      <c r="D244" s="65" t="s">
        <v>1533</v>
      </c>
      <c r="E244" s="65" t="s">
        <v>1534</v>
      </c>
      <c r="F244" s="65" t="s">
        <v>1535</v>
      </c>
      <c r="G244" s="65" t="s">
        <v>1536</v>
      </c>
      <c r="H244" s="65" t="s">
        <v>52</v>
      </c>
      <c r="I244" s="65" t="s">
        <v>769</v>
      </c>
    </row>
    <row r="245" spans="1:9" ht="30" x14ac:dyDescent="0.25">
      <c r="A245" s="64">
        <v>192</v>
      </c>
      <c r="B245" s="65" t="s">
        <v>1498</v>
      </c>
      <c r="C245" s="65" t="s">
        <v>1537</v>
      </c>
      <c r="D245" s="65" t="s">
        <v>1538</v>
      </c>
      <c r="E245" s="65" t="s">
        <v>1539</v>
      </c>
      <c r="F245" s="65" t="s">
        <v>1540</v>
      </c>
      <c r="G245" s="65" t="s">
        <v>1541</v>
      </c>
      <c r="H245" s="65" t="s">
        <v>52</v>
      </c>
      <c r="I245" s="65" t="s">
        <v>780</v>
      </c>
    </row>
    <row r="246" spans="1:9" ht="45" x14ac:dyDescent="0.25">
      <c r="A246" s="64">
        <v>193</v>
      </c>
      <c r="B246" s="65" t="s">
        <v>1498</v>
      </c>
      <c r="C246" s="65" t="s">
        <v>1542</v>
      </c>
      <c r="D246" s="65" t="s">
        <v>1543</v>
      </c>
      <c r="E246" s="65" t="s">
        <v>1544</v>
      </c>
      <c r="F246" s="65" t="s">
        <v>1545</v>
      </c>
      <c r="G246" s="65" t="s">
        <v>1546</v>
      </c>
      <c r="H246" s="65" t="s">
        <v>52</v>
      </c>
      <c r="I246" s="65" t="s">
        <v>726</v>
      </c>
    </row>
    <row r="247" spans="1:9" ht="60" x14ac:dyDescent="0.25">
      <c r="A247" s="64">
        <v>194</v>
      </c>
      <c r="B247" s="65" t="s">
        <v>1547</v>
      </c>
      <c r="C247" s="65" t="s">
        <v>1548</v>
      </c>
      <c r="D247" s="65" t="s">
        <v>1549</v>
      </c>
      <c r="E247" s="65" t="s">
        <v>1550</v>
      </c>
      <c r="F247" s="65" t="s">
        <v>1551</v>
      </c>
      <c r="G247" s="65" t="s">
        <v>1552</v>
      </c>
      <c r="H247" s="65" t="s">
        <v>52</v>
      </c>
      <c r="I247" s="65" t="s">
        <v>726</v>
      </c>
    </row>
    <row r="248" spans="1:9" ht="60" x14ac:dyDescent="0.25">
      <c r="A248" s="64">
        <v>195</v>
      </c>
      <c r="B248" s="65" t="s">
        <v>1547</v>
      </c>
      <c r="C248" s="65" t="s">
        <v>1553</v>
      </c>
      <c r="D248" s="65" t="s">
        <v>1554</v>
      </c>
      <c r="E248" s="65" t="s">
        <v>1554</v>
      </c>
      <c r="F248" s="65" t="s">
        <v>734</v>
      </c>
      <c r="G248" s="65" t="s">
        <v>1555</v>
      </c>
      <c r="H248" s="65" t="s">
        <v>52</v>
      </c>
      <c r="I248" s="65" t="s">
        <v>726</v>
      </c>
    </row>
    <row r="249" spans="1:9" ht="45" x14ac:dyDescent="0.25">
      <c r="A249" s="64">
        <v>196</v>
      </c>
      <c r="B249" s="65" t="s">
        <v>1547</v>
      </c>
      <c r="C249" s="65" t="s">
        <v>1556</v>
      </c>
      <c r="D249" s="65" t="s">
        <v>1557</v>
      </c>
      <c r="E249" s="65" t="s">
        <v>1557</v>
      </c>
      <c r="F249" s="65" t="s">
        <v>734</v>
      </c>
      <c r="G249" s="65" t="s">
        <v>1558</v>
      </c>
      <c r="H249" s="65" t="s">
        <v>52</v>
      </c>
      <c r="I249" s="65" t="s">
        <v>769</v>
      </c>
    </row>
    <row r="250" spans="1:9" ht="45" x14ac:dyDescent="0.25">
      <c r="A250" s="64">
        <v>197</v>
      </c>
      <c r="B250" s="65" t="s">
        <v>1547</v>
      </c>
      <c r="C250" s="65" t="s">
        <v>1559</v>
      </c>
      <c r="D250" s="65" t="s">
        <v>1560</v>
      </c>
      <c r="E250" s="65" t="s">
        <v>1561</v>
      </c>
      <c r="F250" s="65" t="s">
        <v>1562</v>
      </c>
      <c r="G250" s="65" t="s">
        <v>1563</v>
      </c>
      <c r="H250" s="65" t="s">
        <v>52</v>
      </c>
      <c r="I250" s="65" t="s">
        <v>769</v>
      </c>
    </row>
    <row r="251" spans="1:9" ht="45" x14ac:dyDescent="0.25">
      <c r="A251" s="64">
        <v>198</v>
      </c>
      <c r="B251" s="65" t="s">
        <v>1547</v>
      </c>
      <c r="C251" s="65" t="s">
        <v>1564</v>
      </c>
      <c r="D251" s="65" t="s">
        <v>1466</v>
      </c>
      <c r="E251" s="65" t="s">
        <v>1565</v>
      </c>
      <c r="F251" s="65" t="s">
        <v>1566</v>
      </c>
      <c r="G251" s="65" t="s">
        <v>1567</v>
      </c>
      <c r="H251" s="65" t="s">
        <v>52</v>
      </c>
      <c r="I251" s="65" t="s">
        <v>769</v>
      </c>
    </row>
    <row r="252" spans="1:9" ht="45" x14ac:dyDescent="0.25">
      <c r="A252" s="64">
        <v>199</v>
      </c>
      <c r="B252" s="65" t="s">
        <v>1547</v>
      </c>
      <c r="C252" s="65" t="s">
        <v>1568</v>
      </c>
      <c r="D252" s="65" t="s">
        <v>1569</v>
      </c>
      <c r="E252" s="65" t="s">
        <v>1569</v>
      </c>
      <c r="F252" s="65" t="s">
        <v>734</v>
      </c>
      <c r="G252" s="65" t="s">
        <v>1570</v>
      </c>
      <c r="H252" s="65" t="s">
        <v>52</v>
      </c>
      <c r="I252" s="65" t="s">
        <v>769</v>
      </c>
    </row>
    <row r="253" spans="1:9" ht="45" x14ac:dyDescent="0.25">
      <c r="A253" s="64">
        <v>200</v>
      </c>
      <c r="B253" s="65" t="s">
        <v>1547</v>
      </c>
      <c r="C253" s="65" t="s">
        <v>1571</v>
      </c>
      <c r="D253" s="65" t="s">
        <v>1572</v>
      </c>
      <c r="E253" s="65" t="s">
        <v>1573</v>
      </c>
      <c r="F253" s="65" t="s">
        <v>1386</v>
      </c>
      <c r="G253" s="65" t="s">
        <v>1574</v>
      </c>
      <c r="H253" s="65" t="s">
        <v>52</v>
      </c>
      <c r="I253" s="65" t="s">
        <v>780</v>
      </c>
    </row>
    <row r="254" spans="1:9" ht="60" x14ac:dyDescent="0.25">
      <c r="A254" s="64">
        <v>201</v>
      </c>
      <c r="B254" s="65" t="s">
        <v>1547</v>
      </c>
      <c r="C254" s="65" t="s">
        <v>1575</v>
      </c>
      <c r="D254" s="65" t="s">
        <v>1576</v>
      </c>
      <c r="E254" s="65" t="s">
        <v>1577</v>
      </c>
      <c r="F254" s="65" t="s">
        <v>1578</v>
      </c>
      <c r="G254" s="65" t="s">
        <v>1579</v>
      </c>
      <c r="H254" s="65" t="s">
        <v>52</v>
      </c>
      <c r="I254" s="65" t="s">
        <v>726</v>
      </c>
    </row>
    <row r="255" spans="1:9" ht="60" x14ac:dyDescent="0.25">
      <c r="A255" s="64">
        <v>202</v>
      </c>
      <c r="B255" s="65" t="s">
        <v>1547</v>
      </c>
      <c r="C255" s="65" t="s">
        <v>1580</v>
      </c>
      <c r="D255" s="65" t="s">
        <v>1581</v>
      </c>
      <c r="E255" s="65" t="s">
        <v>1582</v>
      </c>
      <c r="F255" s="65" t="s">
        <v>734</v>
      </c>
      <c r="G255" s="65" t="s">
        <v>1583</v>
      </c>
      <c r="H255" s="65" t="s">
        <v>52</v>
      </c>
      <c r="I255" s="65" t="s">
        <v>726</v>
      </c>
    </row>
    <row r="256" spans="1:9" ht="45" x14ac:dyDescent="0.25">
      <c r="A256" s="64">
        <v>203</v>
      </c>
      <c r="B256" s="65" t="s">
        <v>1584</v>
      </c>
      <c r="C256" s="65" t="s">
        <v>1585</v>
      </c>
      <c r="D256" s="65" t="s">
        <v>1586</v>
      </c>
      <c r="E256" s="65" t="s">
        <v>1587</v>
      </c>
      <c r="F256" s="65" t="s">
        <v>1588</v>
      </c>
      <c r="G256" s="65" t="s">
        <v>1589</v>
      </c>
      <c r="H256" s="65" t="s">
        <v>52</v>
      </c>
      <c r="I256" s="65" t="s">
        <v>726</v>
      </c>
    </row>
    <row r="257" spans="1:9" ht="60" x14ac:dyDescent="0.25">
      <c r="A257" s="64">
        <v>204</v>
      </c>
      <c r="B257" s="65" t="s">
        <v>1584</v>
      </c>
      <c r="C257" s="65" t="s">
        <v>1590</v>
      </c>
      <c r="D257" s="65" t="s">
        <v>1591</v>
      </c>
      <c r="E257" s="65" t="s">
        <v>1592</v>
      </c>
      <c r="F257" s="65" t="s">
        <v>1593</v>
      </c>
      <c r="G257" s="65" t="s">
        <v>1594</v>
      </c>
      <c r="H257" s="65" t="s">
        <v>52</v>
      </c>
      <c r="I257" s="65" t="s">
        <v>726</v>
      </c>
    </row>
    <row r="258" spans="1:9" ht="45" x14ac:dyDescent="0.25">
      <c r="A258" s="64">
        <v>205</v>
      </c>
      <c r="B258" s="65" t="s">
        <v>1584</v>
      </c>
      <c r="C258" s="65" t="s">
        <v>1595</v>
      </c>
      <c r="D258" s="65" t="s">
        <v>1596</v>
      </c>
      <c r="E258" s="65" t="s">
        <v>1597</v>
      </c>
      <c r="F258" s="65" t="s">
        <v>1598</v>
      </c>
      <c r="G258" s="65" t="s">
        <v>1599</v>
      </c>
      <c r="H258" s="65" t="s">
        <v>52</v>
      </c>
      <c r="I258" s="65" t="s">
        <v>726</v>
      </c>
    </row>
    <row r="259" spans="1:9" ht="45" x14ac:dyDescent="0.25">
      <c r="A259" s="64">
        <v>206</v>
      </c>
      <c r="B259" s="65" t="s">
        <v>1584</v>
      </c>
      <c r="C259" s="65" t="s">
        <v>1600</v>
      </c>
      <c r="D259" s="65" t="s">
        <v>1601</v>
      </c>
      <c r="E259" s="65" t="s">
        <v>1602</v>
      </c>
      <c r="F259" s="65" t="s">
        <v>1603</v>
      </c>
      <c r="G259" s="65" t="s">
        <v>1604</v>
      </c>
      <c r="H259" s="65" t="s">
        <v>52</v>
      </c>
      <c r="I259" s="65" t="s">
        <v>769</v>
      </c>
    </row>
    <row r="260" spans="1:9" ht="45" x14ac:dyDescent="0.25">
      <c r="A260" s="64">
        <v>207</v>
      </c>
      <c r="B260" s="65" t="s">
        <v>1584</v>
      </c>
      <c r="C260" s="65" t="s">
        <v>1605</v>
      </c>
      <c r="D260" s="65" t="s">
        <v>1606</v>
      </c>
      <c r="E260" s="65" t="s">
        <v>1607</v>
      </c>
      <c r="F260" s="65" t="s">
        <v>1608</v>
      </c>
      <c r="G260" s="65" t="s">
        <v>1609</v>
      </c>
      <c r="H260" s="65" t="s">
        <v>52</v>
      </c>
      <c r="I260" s="65" t="s">
        <v>769</v>
      </c>
    </row>
    <row r="261" spans="1:9" ht="45" x14ac:dyDescent="0.25">
      <c r="A261" s="64">
        <v>208</v>
      </c>
      <c r="B261" s="65" t="s">
        <v>1584</v>
      </c>
      <c r="C261" s="65" t="s">
        <v>1610</v>
      </c>
      <c r="D261" s="65" t="s">
        <v>1611</v>
      </c>
      <c r="E261" s="65" t="s">
        <v>1612</v>
      </c>
      <c r="F261" s="65" t="s">
        <v>1613</v>
      </c>
      <c r="G261" s="65" t="s">
        <v>1614</v>
      </c>
      <c r="H261" s="65" t="s">
        <v>52</v>
      </c>
      <c r="I261" s="65" t="s">
        <v>769</v>
      </c>
    </row>
    <row r="262" spans="1:9" ht="45" x14ac:dyDescent="0.25">
      <c r="A262" s="64">
        <v>209</v>
      </c>
      <c r="B262" s="65" t="s">
        <v>1584</v>
      </c>
      <c r="C262" s="65" t="s">
        <v>1615</v>
      </c>
      <c r="D262" s="65" t="s">
        <v>1616</v>
      </c>
      <c r="E262" s="65" t="s">
        <v>1617</v>
      </c>
      <c r="F262" s="65" t="s">
        <v>1618</v>
      </c>
      <c r="G262" s="65" t="s">
        <v>1619</v>
      </c>
      <c r="H262" s="65" t="s">
        <v>52</v>
      </c>
      <c r="I262" s="65" t="s">
        <v>769</v>
      </c>
    </row>
    <row r="263" spans="1:9" ht="45" x14ac:dyDescent="0.25">
      <c r="A263" s="64">
        <v>210</v>
      </c>
      <c r="B263" s="65" t="s">
        <v>1584</v>
      </c>
      <c r="C263" s="65" t="s">
        <v>1620</v>
      </c>
      <c r="D263" s="65" t="s">
        <v>1621</v>
      </c>
      <c r="E263" s="65" t="s">
        <v>1622</v>
      </c>
      <c r="F263" s="65" t="s">
        <v>1623</v>
      </c>
      <c r="G263" s="65" t="s">
        <v>1624</v>
      </c>
      <c r="H263" s="65" t="s">
        <v>52</v>
      </c>
      <c r="I263" s="65" t="s">
        <v>769</v>
      </c>
    </row>
    <row r="264" spans="1:9" ht="45" x14ac:dyDescent="0.25">
      <c r="A264" s="64">
        <v>211</v>
      </c>
      <c r="B264" s="65" t="s">
        <v>1584</v>
      </c>
      <c r="C264" s="65" t="s">
        <v>1625</v>
      </c>
      <c r="D264" s="65" t="s">
        <v>1626</v>
      </c>
      <c r="E264" s="65" t="s">
        <v>1627</v>
      </c>
      <c r="F264" s="65" t="s">
        <v>1628</v>
      </c>
      <c r="G264" s="65" t="s">
        <v>1629</v>
      </c>
      <c r="H264" s="65" t="s">
        <v>52</v>
      </c>
      <c r="I264" s="65" t="s">
        <v>780</v>
      </c>
    </row>
    <row r="265" spans="1:9" ht="60" x14ac:dyDescent="0.25">
      <c r="A265" s="64">
        <v>212</v>
      </c>
      <c r="B265" s="65" t="s">
        <v>1630</v>
      </c>
      <c r="C265" s="65" t="s">
        <v>1631</v>
      </c>
      <c r="D265" s="65" t="s">
        <v>1632</v>
      </c>
      <c r="E265" s="65" t="s">
        <v>1632</v>
      </c>
      <c r="F265" s="65" t="s">
        <v>734</v>
      </c>
      <c r="G265" s="65" t="s">
        <v>1633</v>
      </c>
      <c r="H265" s="65" t="s">
        <v>52</v>
      </c>
      <c r="I265" s="65" t="s">
        <v>726</v>
      </c>
    </row>
    <row r="266" spans="1:9" ht="60" x14ac:dyDescent="0.25">
      <c r="A266" s="64">
        <v>213</v>
      </c>
      <c r="B266" s="65" t="s">
        <v>1630</v>
      </c>
      <c r="C266" s="65" t="s">
        <v>1634</v>
      </c>
      <c r="D266" s="65" t="s">
        <v>1635</v>
      </c>
      <c r="E266" s="65" t="s">
        <v>1635</v>
      </c>
      <c r="F266" s="65" t="s">
        <v>734</v>
      </c>
      <c r="G266" s="65" t="s">
        <v>1636</v>
      </c>
      <c r="H266" s="65" t="s">
        <v>52</v>
      </c>
      <c r="I266" s="65" t="s">
        <v>726</v>
      </c>
    </row>
    <row r="267" spans="1:9" ht="60" x14ac:dyDescent="0.25">
      <c r="A267" s="64">
        <v>214</v>
      </c>
      <c r="B267" s="65" t="s">
        <v>1630</v>
      </c>
      <c r="C267" s="65" t="s">
        <v>1637</v>
      </c>
      <c r="D267" s="65" t="s">
        <v>1638</v>
      </c>
      <c r="E267" s="65" t="s">
        <v>1638</v>
      </c>
      <c r="F267" s="65" t="s">
        <v>734</v>
      </c>
      <c r="G267" s="65" t="s">
        <v>1639</v>
      </c>
      <c r="H267" s="65" t="s">
        <v>52</v>
      </c>
      <c r="I267" s="65" t="s">
        <v>769</v>
      </c>
    </row>
    <row r="268" spans="1:9" ht="60" x14ac:dyDescent="0.25">
      <c r="A268" s="64">
        <v>215</v>
      </c>
      <c r="B268" s="65" t="s">
        <v>1630</v>
      </c>
      <c r="C268" s="65" t="s">
        <v>1640</v>
      </c>
      <c r="D268" s="65" t="s">
        <v>1641</v>
      </c>
      <c r="E268" s="65" t="s">
        <v>1642</v>
      </c>
      <c r="F268" s="65" t="s">
        <v>1643</v>
      </c>
      <c r="G268" s="65" t="s">
        <v>1644</v>
      </c>
      <c r="H268" s="65" t="s">
        <v>52</v>
      </c>
      <c r="I268" s="65" t="s">
        <v>726</v>
      </c>
    </row>
    <row r="269" spans="1:9" ht="60" x14ac:dyDescent="0.25">
      <c r="A269" s="64">
        <v>216</v>
      </c>
      <c r="B269" s="65" t="s">
        <v>1630</v>
      </c>
      <c r="C269" s="65" t="s">
        <v>1645</v>
      </c>
      <c r="D269" s="65" t="s">
        <v>1646</v>
      </c>
      <c r="E269" s="65" t="s">
        <v>1646</v>
      </c>
      <c r="F269" s="65" t="s">
        <v>734</v>
      </c>
      <c r="G269" s="65" t="s">
        <v>1647</v>
      </c>
      <c r="H269" s="65" t="s">
        <v>52</v>
      </c>
      <c r="I269" s="65" t="s">
        <v>726</v>
      </c>
    </row>
    <row r="270" spans="1:9" ht="60" x14ac:dyDescent="0.25">
      <c r="A270" s="64">
        <v>217</v>
      </c>
      <c r="B270" s="65" t="s">
        <v>1630</v>
      </c>
      <c r="C270" s="65" t="s">
        <v>1648</v>
      </c>
      <c r="D270" s="65" t="s">
        <v>1649</v>
      </c>
      <c r="E270" s="65" t="s">
        <v>1650</v>
      </c>
      <c r="F270" s="65" t="s">
        <v>1651</v>
      </c>
      <c r="G270" s="65" t="s">
        <v>1652</v>
      </c>
      <c r="H270" s="65" t="s">
        <v>52</v>
      </c>
      <c r="I270" s="65" t="s">
        <v>726</v>
      </c>
    </row>
    <row r="271" spans="1:9" ht="60" x14ac:dyDescent="0.25">
      <c r="A271" s="64">
        <v>218</v>
      </c>
      <c r="B271" s="65" t="s">
        <v>1630</v>
      </c>
      <c r="C271" s="65" t="s">
        <v>1653</v>
      </c>
      <c r="D271" s="65" t="s">
        <v>1654</v>
      </c>
      <c r="E271" s="65" t="s">
        <v>1654</v>
      </c>
      <c r="F271" s="65" t="s">
        <v>734</v>
      </c>
      <c r="G271" s="65" t="s">
        <v>1655</v>
      </c>
      <c r="H271" s="65" t="s">
        <v>52</v>
      </c>
      <c r="I271" s="65" t="s">
        <v>726</v>
      </c>
    </row>
    <row r="272" spans="1:9" ht="60" x14ac:dyDescent="0.25">
      <c r="A272" s="64">
        <v>219</v>
      </c>
      <c r="B272" s="65" t="s">
        <v>1630</v>
      </c>
      <c r="C272" s="65" t="s">
        <v>1656</v>
      </c>
      <c r="D272" s="65" t="s">
        <v>1657</v>
      </c>
      <c r="E272" s="65" t="s">
        <v>1657</v>
      </c>
      <c r="F272" s="65" t="s">
        <v>734</v>
      </c>
      <c r="G272" s="65" t="s">
        <v>1658</v>
      </c>
      <c r="H272" s="65" t="s">
        <v>52</v>
      </c>
      <c r="I272" s="65" t="s">
        <v>726</v>
      </c>
    </row>
    <row r="273" spans="1:9" ht="60" x14ac:dyDescent="0.25">
      <c r="A273" s="64">
        <v>220</v>
      </c>
      <c r="B273" s="65" t="s">
        <v>1630</v>
      </c>
      <c r="C273" s="65" t="s">
        <v>1659</v>
      </c>
      <c r="D273" s="65" t="s">
        <v>1660</v>
      </c>
      <c r="E273" s="65" t="s">
        <v>1660</v>
      </c>
      <c r="F273" s="65" t="s">
        <v>734</v>
      </c>
      <c r="G273" s="65" t="s">
        <v>1661</v>
      </c>
      <c r="H273" s="65" t="s">
        <v>52</v>
      </c>
      <c r="I273" s="65" t="s">
        <v>726</v>
      </c>
    </row>
    <row r="274" spans="1:9" ht="60" x14ac:dyDescent="0.25">
      <c r="A274" s="64">
        <v>221</v>
      </c>
      <c r="B274" s="65" t="s">
        <v>1630</v>
      </c>
      <c r="C274" s="65" t="s">
        <v>1662</v>
      </c>
      <c r="D274" s="65" t="s">
        <v>1663</v>
      </c>
      <c r="E274" s="65" t="s">
        <v>1663</v>
      </c>
      <c r="F274" s="65" t="s">
        <v>734</v>
      </c>
      <c r="G274" s="65" t="s">
        <v>1664</v>
      </c>
      <c r="H274" s="65" t="s">
        <v>52</v>
      </c>
      <c r="I274" s="65" t="s">
        <v>769</v>
      </c>
    </row>
    <row r="275" spans="1:9" ht="60" x14ac:dyDescent="0.25">
      <c r="A275" s="64">
        <v>222</v>
      </c>
      <c r="B275" s="65" t="s">
        <v>1630</v>
      </c>
      <c r="C275" s="65" t="s">
        <v>1665</v>
      </c>
      <c r="D275" s="65" t="s">
        <v>1666</v>
      </c>
      <c r="E275" s="65" t="s">
        <v>1666</v>
      </c>
      <c r="F275" s="65" t="s">
        <v>734</v>
      </c>
      <c r="G275" s="65" t="s">
        <v>1667</v>
      </c>
      <c r="H275" s="65" t="s">
        <v>52</v>
      </c>
      <c r="I275" s="65" t="s">
        <v>769</v>
      </c>
    </row>
    <row r="276" spans="1:9" ht="60" x14ac:dyDescent="0.25">
      <c r="A276" s="64">
        <v>223</v>
      </c>
      <c r="B276" s="65" t="s">
        <v>1630</v>
      </c>
      <c r="C276" s="65" t="s">
        <v>1668</v>
      </c>
      <c r="D276" s="65" t="s">
        <v>1669</v>
      </c>
      <c r="E276" s="65" t="s">
        <v>1669</v>
      </c>
      <c r="F276" s="65" t="s">
        <v>734</v>
      </c>
      <c r="G276" s="65" t="s">
        <v>1670</v>
      </c>
      <c r="H276" s="65" t="s">
        <v>52</v>
      </c>
      <c r="I276" s="65" t="s">
        <v>726</v>
      </c>
    </row>
    <row r="277" spans="1:9" ht="60" x14ac:dyDescent="0.25">
      <c r="A277" s="64">
        <v>224</v>
      </c>
      <c r="B277" s="65" t="s">
        <v>1630</v>
      </c>
      <c r="C277" s="65" t="s">
        <v>1671</v>
      </c>
      <c r="D277" s="65" t="s">
        <v>1672</v>
      </c>
      <c r="E277" s="65" t="s">
        <v>1673</v>
      </c>
      <c r="F277" s="65" t="s">
        <v>1674</v>
      </c>
      <c r="G277" s="65" t="s">
        <v>1675</v>
      </c>
      <c r="H277" s="65" t="s">
        <v>52</v>
      </c>
      <c r="I277" s="65" t="s">
        <v>780</v>
      </c>
    </row>
    <row r="278" spans="1:9" ht="60" x14ac:dyDescent="0.25">
      <c r="A278" s="64">
        <v>225</v>
      </c>
      <c r="B278" s="65" t="s">
        <v>1676</v>
      </c>
      <c r="C278" s="65" t="s">
        <v>1677</v>
      </c>
      <c r="D278" s="65" t="s">
        <v>1678</v>
      </c>
      <c r="E278" s="65" t="s">
        <v>1678</v>
      </c>
      <c r="F278" s="65" t="s">
        <v>734</v>
      </c>
      <c r="G278" s="65" t="s">
        <v>1679</v>
      </c>
      <c r="H278" s="65" t="s">
        <v>52</v>
      </c>
      <c r="I278" s="65" t="s">
        <v>726</v>
      </c>
    </row>
    <row r="279" spans="1:9" ht="60" x14ac:dyDescent="0.25">
      <c r="A279" s="64">
        <v>226</v>
      </c>
      <c r="B279" s="65" t="s">
        <v>1676</v>
      </c>
      <c r="C279" s="65" t="s">
        <v>1680</v>
      </c>
      <c r="D279" s="65" t="s">
        <v>1681</v>
      </c>
      <c r="E279" s="65" t="s">
        <v>1681</v>
      </c>
      <c r="F279" s="65" t="s">
        <v>734</v>
      </c>
      <c r="G279" s="65" t="s">
        <v>1682</v>
      </c>
      <c r="H279" s="65" t="s">
        <v>52</v>
      </c>
      <c r="I279" s="65" t="s">
        <v>726</v>
      </c>
    </row>
    <row r="280" spans="1:9" ht="60" x14ac:dyDescent="0.25">
      <c r="A280" s="64">
        <v>227</v>
      </c>
      <c r="B280" s="65" t="s">
        <v>1676</v>
      </c>
      <c r="C280" s="65" t="s">
        <v>1683</v>
      </c>
      <c r="D280" s="65" t="s">
        <v>1684</v>
      </c>
      <c r="E280" s="65" t="s">
        <v>1684</v>
      </c>
      <c r="F280" s="65" t="s">
        <v>734</v>
      </c>
      <c r="G280" s="65" t="s">
        <v>1685</v>
      </c>
      <c r="H280" s="65" t="s">
        <v>52</v>
      </c>
      <c r="I280" s="65" t="s">
        <v>769</v>
      </c>
    </row>
    <row r="281" spans="1:9" ht="60" x14ac:dyDescent="0.25">
      <c r="A281" s="64">
        <v>228</v>
      </c>
      <c r="B281" s="65" t="s">
        <v>1676</v>
      </c>
      <c r="C281" s="65" t="s">
        <v>1686</v>
      </c>
      <c r="D281" s="65" t="s">
        <v>1687</v>
      </c>
      <c r="E281" s="65" t="s">
        <v>1687</v>
      </c>
      <c r="F281" s="65" t="s">
        <v>734</v>
      </c>
      <c r="G281" s="65" t="s">
        <v>1688</v>
      </c>
      <c r="H281" s="65" t="s">
        <v>52</v>
      </c>
      <c r="I281" s="65" t="s">
        <v>769</v>
      </c>
    </row>
    <row r="282" spans="1:9" ht="60" x14ac:dyDescent="0.25">
      <c r="A282" s="64">
        <v>229</v>
      </c>
      <c r="B282" s="65" t="s">
        <v>1676</v>
      </c>
      <c r="C282" s="65" t="s">
        <v>1689</v>
      </c>
      <c r="D282" s="65" t="s">
        <v>1690</v>
      </c>
      <c r="E282" s="65" t="s">
        <v>1691</v>
      </c>
      <c r="F282" s="65" t="s">
        <v>1692</v>
      </c>
      <c r="G282" s="65" t="s">
        <v>1693</v>
      </c>
      <c r="H282" s="65" t="s">
        <v>52</v>
      </c>
      <c r="I282" s="65" t="s">
        <v>780</v>
      </c>
    </row>
    <row r="283" spans="1:9" ht="60" x14ac:dyDescent="0.25">
      <c r="A283" s="64">
        <v>230</v>
      </c>
      <c r="B283" s="65" t="s">
        <v>1694</v>
      </c>
      <c r="C283" s="65" t="s">
        <v>1695</v>
      </c>
      <c r="D283" s="65" t="s">
        <v>1696</v>
      </c>
      <c r="E283" s="65" t="s">
        <v>1696</v>
      </c>
      <c r="F283" s="65" t="s">
        <v>734</v>
      </c>
      <c r="G283" s="65" t="s">
        <v>1697</v>
      </c>
      <c r="H283" s="65" t="s">
        <v>52</v>
      </c>
      <c r="I283" s="65" t="s">
        <v>726</v>
      </c>
    </row>
    <row r="284" spans="1:9" ht="60" x14ac:dyDescent="0.25">
      <c r="A284" s="64">
        <v>231</v>
      </c>
      <c r="B284" s="65" t="s">
        <v>1694</v>
      </c>
      <c r="C284" s="65" t="s">
        <v>1698</v>
      </c>
      <c r="D284" s="65" t="s">
        <v>1699</v>
      </c>
      <c r="E284" s="65" t="s">
        <v>1699</v>
      </c>
      <c r="F284" s="65" t="s">
        <v>734</v>
      </c>
      <c r="G284" s="65" t="s">
        <v>1700</v>
      </c>
      <c r="H284" s="65" t="s">
        <v>52</v>
      </c>
      <c r="I284" s="65" t="s">
        <v>769</v>
      </c>
    </row>
    <row r="285" spans="1:9" ht="60" x14ac:dyDescent="0.25">
      <c r="A285" s="64">
        <v>232</v>
      </c>
      <c r="B285" s="65" t="s">
        <v>1701</v>
      </c>
      <c r="C285" s="65" t="s">
        <v>1702</v>
      </c>
      <c r="D285" s="65" t="s">
        <v>1703</v>
      </c>
      <c r="E285" s="65" t="s">
        <v>1703</v>
      </c>
      <c r="F285" s="65" t="s">
        <v>734</v>
      </c>
      <c r="G285" s="65" t="s">
        <v>1704</v>
      </c>
      <c r="H285" s="65" t="s">
        <v>52</v>
      </c>
      <c r="I285" s="65" t="s">
        <v>726</v>
      </c>
    </row>
    <row r="286" spans="1:9" ht="45" x14ac:dyDescent="0.25">
      <c r="A286" s="64">
        <v>233</v>
      </c>
      <c r="B286" s="65" t="s">
        <v>1701</v>
      </c>
      <c r="C286" s="65" t="s">
        <v>1705</v>
      </c>
      <c r="D286" s="65" t="s">
        <v>1706</v>
      </c>
      <c r="E286" s="65" t="s">
        <v>1706</v>
      </c>
      <c r="F286" s="65" t="s">
        <v>734</v>
      </c>
      <c r="G286" s="65" t="s">
        <v>1707</v>
      </c>
      <c r="H286" s="65" t="s">
        <v>52</v>
      </c>
      <c r="I286" s="65" t="s">
        <v>769</v>
      </c>
    </row>
    <row r="287" spans="1:9" ht="45" x14ac:dyDescent="0.25">
      <c r="A287" s="64">
        <v>234</v>
      </c>
      <c r="B287" s="65" t="s">
        <v>1701</v>
      </c>
      <c r="C287" s="65" t="s">
        <v>1708</v>
      </c>
      <c r="D287" s="65" t="s">
        <v>1709</v>
      </c>
      <c r="E287" s="65" t="s">
        <v>1709</v>
      </c>
      <c r="F287" s="65" t="s">
        <v>734</v>
      </c>
      <c r="G287" s="65" t="s">
        <v>1710</v>
      </c>
      <c r="H287" s="65" t="s">
        <v>52</v>
      </c>
      <c r="I287" s="65" t="s">
        <v>726</v>
      </c>
    </row>
    <row r="288" spans="1:9" ht="45" x14ac:dyDescent="0.25">
      <c r="A288" s="64">
        <v>235</v>
      </c>
      <c r="B288" s="65" t="s">
        <v>1701</v>
      </c>
      <c r="C288" s="65" t="s">
        <v>1711</v>
      </c>
      <c r="D288" s="65" t="s">
        <v>1712</v>
      </c>
      <c r="E288" s="65" t="s">
        <v>1713</v>
      </c>
      <c r="F288" s="65" t="s">
        <v>1714</v>
      </c>
      <c r="G288" s="65" t="s">
        <v>1715</v>
      </c>
      <c r="H288" s="65" t="s">
        <v>52</v>
      </c>
      <c r="I288" s="65" t="s">
        <v>726</v>
      </c>
    </row>
  </sheetData>
  <phoneticPr fontId="1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5F9ABE2E9073F4DBEFD3A0E4E804736" ma:contentTypeVersion="15" ma:contentTypeDescription="새 문서를 만듭니다." ma:contentTypeScope="" ma:versionID="e21f2c0381dcdb676ff4d058d9391828">
  <xsd:schema xmlns:xsd="http://www.w3.org/2001/XMLSchema" xmlns:xs="http://www.w3.org/2001/XMLSchema" xmlns:p="http://schemas.microsoft.com/office/2006/metadata/properties" xmlns:ns2="355e9163-e205-4f55-8724-e062aa2d762e" xmlns:ns3="b82e25f1-f1d4-4b57-be84-1f5ad188becc" targetNamespace="http://schemas.microsoft.com/office/2006/metadata/properties" ma:root="true" ma:fieldsID="74ede542eddc1547cf48ce9271227341" ns2:_="" ns3:_="">
    <xsd:import namespace="355e9163-e205-4f55-8724-e062aa2d762e"/>
    <xsd:import namespace="b82e25f1-f1d4-4b57-be84-1f5ad188be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5e9163-e205-4f55-8724-e062aa2d76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이미지 태그" ma:readOnly="false" ma:fieldId="{5cf76f15-5ced-4ddc-b409-7134ff3c332f}" ma:taxonomyMulti="true" ma:sspId="3f2f8e18-fefb-41ea-b0db-811a3a7d8f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e25f1-f1d4-4b57-be84-1f5ad188bec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1401ad1-5c0b-4d77-a325-ccf9a4e0c0df}" ma:internalName="TaxCatchAll" ma:showField="CatchAllData" ma:web="b82e25f1-f1d4-4b57-be84-1f5ad188be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5e9163-e205-4f55-8724-e062aa2d762e">
      <Terms xmlns="http://schemas.microsoft.com/office/infopath/2007/PartnerControls"/>
    </lcf76f155ced4ddcb4097134ff3c332f>
    <TaxCatchAll xmlns="b82e25f1-f1d4-4b57-be84-1f5ad188becc" xsi:nil="true"/>
  </documentManagement>
</p:properties>
</file>

<file path=customXml/itemProps1.xml><?xml version="1.0" encoding="utf-8"?>
<ds:datastoreItem xmlns:ds="http://schemas.openxmlformats.org/officeDocument/2006/customXml" ds:itemID="{825D5084-68FD-4832-BD27-8EA9F1FAF4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5e9163-e205-4f55-8724-e062aa2d762e"/>
    <ds:schemaRef ds:uri="b82e25f1-f1d4-4b57-be84-1f5ad188be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3CA374-3215-4C20-B7AE-5D410470BD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BE966F-E7AE-46B7-A888-B9D91B9FF514}">
  <ds:schemaRefs>
    <ds:schemaRef ds:uri="http://schemas.microsoft.com/office/2006/metadata/properties"/>
    <ds:schemaRef ds:uri="http://schemas.microsoft.com/office/infopath/2007/PartnerControls"/>
    <ds:schemaRef ds:uri="355e9163-e205-4f55-8724-e062aa2d762e"/>
    <ds:schemaRef ds:uri="b82e25f1-f1d4-4b57-be84-1f5ad188be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1</vt:i4>
      </vt:variant>
    </vt:vector>
  </HeadingPairs>
  <TitlesOfParts>
    <vt:vector size="17" baseType="lpstr">
      <vt:lpstr>단위 테스트 요약</vt:lpstr>
      <vt:lpstr>수정 사항 관리</vt:lpstr>
      <vt:lpstr>홈</vt:lpstr>
      <vt:lpstr>가상 착신·접수</vt:lpstr>
      <vt:lpstr>장비 검색</vt:lpstr>
      <vt:lpstr>고객사·사업장 등록</vt:lpstr>
      <vt:lpstr>기사 배정·재배정</vt:lpstr>
      <vt:lpstr>출동·사용 부품</vt:lpstr>
      <vt:lpstr>승인 요청·승인·반려</vt:lpstr>
      <vt:lpstr>재고 이동</vt:lpstr>
      <vt:lpstr>접수 취소·종결</vt:lpstr>
      <vt:lpstr>출동 이력</vt:lpstr>
      <vt:lpstr>ERP 연동</vt:lpstr>
      <vt:lpstr>리포트·대시보드</vt:lpstr>
      <vt:lpstr>LOV</vt:lpstr>
      <vt:lpstr>자동 테스트(Apex) 결과·커버리지</vt:lpstr>
      <vt:lpstr>진행결과</vt:lpstr>
    </vt:vector>
  </TitlesOfParts>
  <Manager>Windmillsoft</Manager>
  <Company>Windmillsoft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Windmillsoft</dc:creator>
  <cp:keywords/>
  <dc:description/>
  <cp:lastModifiedBy>이학민(Edwin)</cp:lastModifiedBy>
  <cp:revision>0</cp:revision>
  <dcterms:created xsi:type="dcterms:W3CDTF">2026-04-09T05:26:34Z</dcterms:created>
  <dcterms:modified xsi:type="dcterms:W3CDTF">2026-10-19T05:15:22Z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0x01010065F9ABE2E9073F4DBEFD3A0E4E804736</vt:lpwstr>
  </property>
  <property fmtid="{D5CDD505-2E9C-101B-9397-08002B2CF9AE}" pid="3" name="MediaServiceImageTags">
    <vt:lpwstr/>
  </property>
</Properties>
</file>